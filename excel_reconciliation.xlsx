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rudev\Downloads\"/>
    </mc:Choice>
  </mc:AlternateContent>
  <xr:revisionPtr revIDLastSave="0" documentId="8_{0805A4A9-EA4C-4B70-ABD4-C13F52C71A19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ank_Statement" sheetId="1" r:id="rId1"/>
    <sheet name="Dashboard" sheetId="4" r:id="rId2"/>
    <sheet name="Summary" sheetId="5" r:id="rId3"/>
    <sheet name="Cash_Book" sheetId="2" r:id="rId4"/>
    <sheet name="Tasks" sheetId="3" r:id="rId5"/>
  </sheets>
  <definedNames>
    <definedName name="_xlnm._FilterDatabase" localSheetId="0" hidden="1">Bank_Statement!$H$1:$H$101</definedName>
    <definedName name="_xlnm._FilterDatabase" localSheetId="3" hidden="1">Cash_Book!$A$1:$I$94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2" i="2"/>
  <c r="B2" i="5"/>
  <c r="B6" i="5"/>
  <c r="B7" i="5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2" i="2"/>
  <c r="B3" i="5" l="1"/>
  <c r="B5" i="5"/>
  <c r="B4" i="5"/>
</calcChain>
</file>

<file path=xl/sharedStrings.xml><?xml version="1.0" encoding="utf-8"?>
<sst xmlns="http://schemas.openxmlformats.org/spreadsheetml/2006/main" count="628" uniqueCount="173">
  <si>
    <t>Date</t>
  </si>
  <si>
    <t>Transaction_ID</t>
  </si>
  <si>
    <t>Description</t>
  </si>
  <si>
    <t>Debit</t>
  </si>
  <si>
    <t>Credit</t>
  </si>
  <si>
    <t>Balance</t>
  </si>
  <si>
    <t>01-04-2026</t>
  </si>
  <si>
    <t>TXN1000</t>
  </si>
  <si>
    <t>UTILITY BILL</t>
  </si>
  <si>
    <t>02-04-2026</t>
  </si>
  <si>
    <t>TXN1001</t>
  </si>
  <si>
    <t>CLIENT PAYMENT</t>
  </si>
  <si>
    <t>03-04-2026</t>
  </si>
  <si>
    <t>TXN1002</t>
  </si>
  <si>
    <t>EFT PAYMENT</t>
  </si>
  <si>
    <t>04-04-2026</t>
  </si>
  <si>
    <t>TXN1003</t>
  </si>
  <si>
    <t>EFT RECEIPT</t>
  </si>
  <si>
    <t>05-04-2026</t>
  </si>
  <si>
    <t>TXN1004</t>
  </si>
  <si>
    <t>SALARY CREDIT</t>
  </si>
  <si>
    <t>06-04-2026</t>
  </si>
  <si>
    <t>TXN1005</t>
  </si>
  <si>
    <t>UPI RECEIPT</t>
  </si>
  <si>
    <t>07-04-2026</t>
  </si>
  <si>
    <t>TXN1006</t>
  </si>
  <si>
    <t>ATM WITHDRAWAL</t>
  </si>
  <si>
    <t>08-04-2026</t>
  </si>
  <si>
    <t>TXN1007</t>
  </si>
  <si>
    <t>BANK FEES</t>
  </si>
  <si>
    <t>09-04-2026</t>
  </si>
  <si>
    <t>TXN1008</t>
  </si>
  <si>
    <t>NEFT CREDIT</t>
  </si>
  <si>
    <t>10-04-2026</t>
  </si>
  <si>
    <t>TXN1009</t>
  </si>
  <si>
    <t>11-04-2026</t>
  </si>
  <si>
    <t>TXN1010</t>
  </si>
  <si>
    <t>12-04-2026</t>
  </si>
  <si>
    <t>TXN1011</t>
  </si>
  <si>
    <t>13-04-2026</t>
  </si>
  <si>
    <t>TXN1012</t>
  </si>
  <si>
    <t>14-04-2026</t>
  </si>
  <si>
    <t>TXN1013</t>
  </si>
  <si>
    <t>15-04-2026</t>
  </si>
  <si>
    <t>TXN1014</t>
  </si>
  <si>
    <t>16-04-2026</t>
  </si>
  <si>
    <t>TXN1015</t>
  </si>
  <si>
    <t>17-04-2026</t>
  </si>
  <si>
    <t>TXN1016</t>
  </si>
  <si>
    <t>18-04-2026</t>
  </si>
  <si>
    <t>TXN1017</t>
  </si>
  <si>
    <t>19-04-2026</t>
  </si>
  <si>
    <t>TXN1018</t>
  </si>
  <si>
    <t>20-04-2026</t>
  </si>
  <si>
    <t>TXN1019</t>
  </si>
  <si>
    <t>21-04-2026</t>
  </si>
  <si>
    <t>TXN1020</t>
  </si>
  <si>
    <t>22-04-2026</t>
  </si>
  <si>
    <t>TXN1021</t>
  </si>
  <si>
    <t>23-04-2026</t>
  </si>
  <si>
    <t>TXN1022</t>
  </si>
  <si>
    <t>CHEQUE PAYMENT</t>
  </si>
  <si>
    <t>24-04-2026</t>
  </si>
  <si>
    <t>TXN1023</t>
  </si>
  <si>
    <t>25-04-2026</t>
  </si>
  <si>
    <t>TXN1024</t>
  </si>
  <si>
    <t>26-04-2026</t>
  </si>
  <si>
    <t>TXN1025</t>
  </si>
  <si>
    <t>27-04-2026</t>
  </si>
  <si>
    <t>TXN1026</t>
  </si>
  <si>
    <t>28-04-2026</t>
  </si>
  <si>
    <t>TXN1027</t>
  </si>
  <si>
    <t>29-04-2026</t>
  </si>
  <si>
    <t>TXN1028</t>
  </si>
  <si>
    <t>30-04-2026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</si>
  <si>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</si>
  <si>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</si>
  <si>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</si>
  <si>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</si>
  <si>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</si>
  <si>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</si>
  <si>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</si>
  <si>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</si>
  <si>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</si>
  <si>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</si>
  <si>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</si>
  <si>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</si>
  <si>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</si>
  <si>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</si>
  <si>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</si>
  <si>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</si>
  <si>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</si>
  <si>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</si>
  <si>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</si>
  <si>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</si>
  <si>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</si>
  <si>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</si>
  <si>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</si>
  <si>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</si>
  <si>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</si>
  <si>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</si>
  <si>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</si>
  <si>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</si>
  <si>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</si>
  <si>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</si>
  <si>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</si>
  <si>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</si>
  <si>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</si>
  <si>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</si>
  <si>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</si>
  <si>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</si>
  <si>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</si>
  <si>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</si>
  <si>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</si>
  <si>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</si>
  <si>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</si>
  <si>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</si>
  <si>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</si>
  <si>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</si>
  <si>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</si>
  <si>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</si>
  <si>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</si>
  <si>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</si>
  <si>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</si>
  <si>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</si>
  <si>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</si>
  <si>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</si>
  <si>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</si>
  <si>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</si>
  <si>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</si>
  <si>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</si>
  <si>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</si>
  <si>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</si>
  <si>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</si>
  <si>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</si>
  <si>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</si>
  <si>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</si>
  <si>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</si>
  <si>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</si>
  <si>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</si>
  <si>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</si>
  <si>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</si>
  <si>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</si>
  <si>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</si>
  <si>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</si>
  <si>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</si>
  <si>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1. Find missing transactions between Bank Statement and Cash Book.</t>
  </si>
  <si>
    <t>2. Use VLOOKUP/XLOOKUP to match Transaction IDs.</t>
  </si>
  <si>
    <t>3. Highlight mismatched amounts using Conditional Formatting.</t>
  </si>
  <si>
    <t>4. Use IF formula to classify transactions as Match/Mismatch.</t>
  </si>
  <si>
    <t>5. Create Pivot Table for Debit and Credit totals.</t>
  </si>
  <si>
    <t>6. Find duplicate Transaction IDs using COUNTIF.</t>
  </si>
  <si>
    <t>7. Filter only unmatched transactions.</t>
  </si>
  <si>
    <t>8. Calculate total Debit and Credit amounts using SUMIF.</t>
  </si>
  <si>
    <t>9. Identify timing differences.</t>
  </si>
  <si>
    <t>10. Prepare a basic reconciliation summary.</t>
  </si>
  <si>
    <t>Match Status</t>
  </si>
  <si>
    <t>Amount Check</t>
  </si>
  <si>
    <t>Row Labels</t>
  </si>
  <si>
    <t>Grand Total</t>
  </si>
  <si>
    <t>Sum of Debit</t>
  </si>
  <si>
    <t>Sum of Credit</t>
  </si>
  <si>
    <t>Bank Balance Lookup</t>
  </si>
  <si>
    <t>Duplicate Check</t>
  </si>
  <si>
    <t>Metric</t>
  </si>
  <si>
    <t>Total Transactions</t>
  </si>
  <si>
    <t>Missing Transactions</t>
  </si>
  <si>
    <t>Mismatched Transactions</t>
  </si>
  <si>
    <t>Duplicate Transactions</t>
  </si>
  <si>
    <t>Total Debit</t>
  </si>
  <si>
    <t>Total Credit</t>
  </si>
  <si>
    <t>Formula</t>
  </si>
  <si>
    <t>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</si>
</sst>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[excel_reconciliation.xlsx]Dashboard!PivotTable1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Sum of Debit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Dashboard!$A$4:$A$14</c:f>
              <c:strCache>
                <c:ptCount val="10"/>
                <c:pt idx="0">
                  <c:v>ATM WITHDRAWAL</c:v>
                </c:pt>
                <c:pt idx="1">
                  <c:v>BANK FEES</c:v>
                </c:pt>
                <c:pt idx="2">
                  <c:v>CHEQUE PAYMENT</c:v>
                </c:pt>
                <c:pt idx="3">
                  <c:v>CLIENT PAYMENT</c:v>
                </c:pt>
                <c:pt idx="4">
                  <c:v>EFT PAYMENT</c:v>
                </c:pt>
                <c:pt idx="5">
                  <c:v>EFT RECEIPT</c:v>
                </c:pt>
                <c:pt idx="6">
                  <c:v>NEFT CREDIT</c:v>
                </c:pt>
                <c:pt idx="7">
                  <c:v>SALARY CREDIT</c:v>
                </c:pt>
                <c:pt idx="8">
                  <c:v>UPI RECEIPT</c:v>
                </c:pt>
                <c:pt idx="9">
                  <c:v>UTILITY BILL</c:v>
                </c:pt>
              </c:strCache>
            </c:strRef>
          </c:cat>
          <c:val>
            <c:numRef>
              <c:f>Dashboard!$B$4:$B$14</c:f>
              <c:numCache>
                <c:formatCode>General</c:formatCode>
                <c:ptCount val="10"/>
                <c:pt idx="0">
                  <c:v>34982</c:v>
                </c:pt>
                <c:pt idx="1">
                  <c:v>40386</c:v>
                </c:pt>
                <c:pt idx="2">
                  <c:v>31886</c:v>
                </c:pt>
                <c:pt idx="4">
                  <c:v>29824</c:v>
                </c:pt>
                <c:pt idx="9">
                  <c:v>34415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E-4A30-B5B8-994CE880148B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Sum of Credit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Dashboard!$A$4:$A$14</c:f>
              <c:strCache>
                <c:ptCount val="10"/>
                <c:pt idx="0">
                  <c:v>ATM WITHDRAWAL</c:v>
                </c:pt>
                <c:pt idx="1">
                  <c:v>BANK FEES</c:v>
                </c:pt>
                <c:pt idx="2">
                  <c:v>CHEQUE PAYMENT</c:v>
                </c:pt>
                <c:pt idx="3">
                  <c:v>CLIENT PAYMENT</c:v>
                </c:pt>
                <c:pt idx="4">
                  <c:v>EFT PAYMENT</c:v>
                </c:pt>
                <c:pt idx="5">
                  <c:v>EFT RECEIPT</c:v>
                </c:pt>
                <c:pt idx="6">
                  <c:v>NEFT CREDIT</c:v>
                </c:pt>
                <c:pt idx="7">
                  <c:v>SALARY CREDIT</c:v>
                </c:pt>
                <c:pt idx="8">
                  <c:v>UPI RECEIPT</c:v>
                </c:pt>
                <c:pt idx="9">
                  <c:v>UTILITY BILL</c:v>
                </c:pt>
              </c:strCache>
            </c:strRef>
          </c:cat>
          <c:val>
            <c:numRef>
              <c:f>Dashboard!$C$4:$C$14</c:f>
              <c:numCache>
                <c:formatCode>General</c:formatCode>
                <c:ptCount val="10"/>
                <c:pt idx="3">
                  <c:v>45490</c:v>
                </c:pt>
                <c:pt idx="5">
                  <c:v>46729</c:v>
                </c:pt>
                <c:pt idx="6">
                  <c:v>61940</c:v>
                </c:pt>
                <c:pt idx="7">
                  <c:v>63612</c:v>
                </c:pt>
                <c:pt idx="8">
                  <c:v>33422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E-4A30-B5B8-994CE8801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843951"/>
        <c:axId val="1054840591"/>
      </c:barChart>
      <c:catAx>
        <c:axId val="105484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40591"/>
        <c:crosses val="autoZero"/>
        <c:auto val="1"/>
        <c:lblAlgn val="ctr"/>
        <c:lblOffset val="100"/>
        <c:noMultiLvlLbl val="0"/>
      </c:catAx>
      <c:valAx>
        <c:axId val="105484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4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1</xdr:row>
      <xdr:rowOff>102870</xdr:rowOff>
    </xdr:from>
    <xdr:to>
      <xdr:col>11</xdr:col>
      <xdr:colOff>167640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C0407-7B37-7366-B5D9-5F99FB934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dev" refreshedDate="46152.836725694448" createdVersion="8" refreshedVersion="8" minRefreshableVersion="3" recordCount="93" xr:uid="{407A0496-5C13-494C-BDE2-491F12EAA31C}">
  <cacheSource type="worksheet">
    <worksheetSource ref="A1:G94" sheet="Cash_Book"/>
  </cacheSource>
  <cacheFields count="7">
    <cacheField name="Date" numFmtId="0">
      <sharedItems/>
    </cacheField>
    <cacheField name="Transaction_ID" numFmtId="0">
      <sharedItems/>
    </cacheField>
    <cacheField name="Description" numFmtId="0">
      <sharedItems count="10">
        <s v="CLIENT PAYMENT"/>
        <s v="EFT PAYMENT"/>
        <s v="EFT RECEIPT"/>
        <s v="SALARY CREDIT"/>
        <s v="UPI RECEIPT"/>
        <s v="ATM WITHDRAWAL"/>
        <s v="BANK FEES"/>
        <s v="NEFT CREDIT"/>
        <s v="CHEQUE PAYMENT"/>
        <s v="UTILITY BILL"/>
      </sharedItems>
    </cacheField>
    <cacheField name="Debit" numFmtId="0">
      <sharedItems containsString="0" containsBlank="1" containsNumber="1" containsInteger="1" minValue="327" maxValue="7823"/>
    </cacheField>
    <cacheField name="Credit" numFmtId="0">
      <sharedItems containsString="0" containsBlank="1" containsNumber="1" containsInteger="1" minValue="570" maxValue="9769"/>
    </cacheField>
    <cacheField name="Balance" numFmtId="0">
      <sharedItems containsSemiMixedTypes="0" containsString="0" containsNumber="1" containsInteger="1" minValue="51674" maxValue="161776"/>
    </cacheField>
    <cacheField name="Amount 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02-04-2026"/>
    <s v="TXN1001"/>
    <x v="0"/>
    <m/>
    <n v="9769"/>
    <n v="55816"/>
    <s v="Match"/>
  </r>
  <r>
    <s v="03-04-2026"/>
    <s v="TXN1002"/>
    <x v="1"/>
    <n v="4142"/>
    <m/>
    <n v="51674"/>
    <s v="Match"/>
  </r>
  <r>
    <s v="04-04-2026"/>
    <s v="TXN1003"/>
    <x v="2"/>
    <m/>
    <n v="4282"/>
    <n v="55956"/>
    <s v="Match"/>
  </r>
  <r>
    <s v="05-04-2026"/>
    <s v="TXN1004"/>
    <x v="3"/>
    <m/>
    <n v="8715"/>
    <n v="64671"/>
    <s v="Match"/>
  </r>
  <r>
    <s v="06-04-2026"/>
    <s v="TXN1005"/>
    <x v="4"/>
    <m/>
    <n v="7433"/>
    <n v="72104"/>
    <s v="Match"/>
  </r>
  <r>
    <s v="07-04-2026"/>
    <s v="TXN1006"/>
    <x v="5"/>
    <n v="4347"/>
    <m/>
    <n v="67757"/>
    <s v="Match"/>
  </r>
  <r>
    <s v="08-04-2026"/>
    <s v="TXN1007"/>
    <x v="6"/>
    <n v="4463"/>
    <m/>
    <n v="63294"/>
    <s v="Match"/>
  </r>
  <r>
    <s v="09-04-2026"/>
    <s v="TXN1008"/>
    <x v="7"/>
    <m/>
    <n v="7717"/>
    <n v="71011"/>
    <s v="Match"/>
  </r>
  <r>
    <s v="10-04-2026"/>
    <s v="TXN1009"/>
    <x v="7"/>
    <m/>
    <n v="4562"/>
    <n v="75573"/>
    <s v="Match"/>
  </r>
  <r>
    <s v="11-04-2026"/>
    <s v="TXN1010"/>
    <x v="3"/>
    <m/>
    <n v="3826"/>
    <n v="79399"/>
    <s v="Match"/>
  </r>
  <r>
    <s v="12-04-2026"/>
    <s v="TXN1011"/>
    <x v="1"/>
    <n v="6010"/>
    <m/>
    <n v="73389"/>
    <s v="Match"/>
  </r>
  <r>
    <s v="13-04-2026"/>
    <s v="TXN1012"/>
    <x v="7"/>
    <m/>
    <n v="1679"/>
    <n v="75068"/>
    <s v="Match"/>
  </r>
  <r>
    <s v="14-04-2026"/>
    <s v="TXN1013"/>
    <x v="6"/>
    <n v="738"/>
    <m/>
    <n v="74330"/>
    <s v="Match"/>
  </r>
  <r>
    <s v="15-04-2026"/>
    <s v="TXN1014"/>
    <x v="6"/>
    <n v="726"/>
    <m/>
    <n v="73604"/>
    <s v="Match"/>
  </r>
  <r>
    <s v="17-04-2026"/>
    <s v="TXN1016"/>
    <x v="5"/>
    <n v="327"/>
    <m/>
    <n v="77538"/>
    <s v="Match"/>
  </r>
  <r>
    <s v="18-04-2026"/>
    <s v="TXN1017"/>
    <x v="3"/>
    <m/>
    <n v="9248"/>
    <n v="86786"/>
    <s v="Match"/>
  </r>
  <r>
    <s v="19-04-2026"/>
    <s v="TXN1018"/>
    <x v="7"/>
    <m/>
    <n v="1725"/>
    <n v="88536"/>
    <s v="Mismatch"/>
  </r>
  <r>
    <s v="20-04-2026"/>
    <s v="TXN1019"/>
    <x v="2"/>
    <m/>
    <n v="4600"/>
    <n v="93136"/>
    <s v="Match"/>
  </r>
  <r>
    <s v="21-04-2026"/>
    <s v="TXN1020"/>
    <x v="0"/>
    <m/>
    <n v="4978"/>
    <n v="98114"/>
    <s v="Match"/>
  </r>
  <r>
    <s v="22-04-2026"/>
    <s v="TXN1021"/>
    <x v="1"/>
    <n v="5630"/>
    <m/>
    <n v="92484"/>
    <s v="Match"/>
  </r>
  <r>
    <s v="23-04-2026"/>
    <s v="TXN1022"/>
    <x v="8"/>
    <n v="3885"/>
    <m/>
    <n v="88599"/>
    <s v="Match"/>
  </r>
  <r>
    <s v="24-04-2026"/>
    <s v="TXN1023"/>
    <x v="6"/>
    <n v="4845"/>
    <m/>
    <n v="83754"/>
    <s v="Match"/>
  </r>
  <r>
    <s v="25-04-2026"/>
    <s v="TXN1024"/>
    <x v="7"/>
    <m/>
    <n v="5343"/>
    <n v="89097"/>
    <s v="Match"/>
  </r>
  <r>
    <s v="26-04-2026"/>
    <s v="TXN1025"/>
    <x v="5"/>
    <n v="5245"/>
    <m/>
    <n v="83852"/>
    <s v="Match"/>
  </r>
  <r>
    <s v="27-04-2026"/>
    <s v="TXN1026"/>
    <x v="3"/>
    <m/>
    <n v="1936"/>
    <n v="85788"/>
    <s v="Match"/>
  </r>
  <r>
    <s v="28-04-2026"/>
    <s v="TXN1027"/>
    <x v="3"/>
    <m/>
    <n v="8843"/>
    <n v="94631"/>
    <s v="Match"/>
  </r>
  <r>
    <s v="29-04-2026"/>
    <s v="TXN1028"/>
    <x v="9"/>
    <n v="4804"/>
    <m/>
    <n v="89827"/>
    <s v="Match"/>
  </r>
  <r>
    <s v="30-04-2026"/>
    <s v="TXN1029"/>
    <x v="4"/>
    <m/>
    <n v="570"/>
    <n v="90397"/>
    <s v="Match"/>
  </r>
  <r>
    <s v="02-04-2026"/>
    <s v="TXN1031"/>
    <x v="5"/>
    <n v="4087"/>
    <m/>
    <n v="94246"/>
    <s v="Match"/>
  </r>
  <r>
    <s v="03-04-2026"/>
    <s v="TXN1032"/>
    <x v="2"/>
    <m/>
    <n v="5948"/>
    <n v="100194"/>
    <s v="Match"/>
  </r>
  <r>
    <s v="04-04-2026"/>
    <s v="TXN1033"/>
    <x v="7"/>
    <m/>
    <n v="1423"/>
    <n v="101617"/>
    <s v="Match"/>
  </r>
  <r>
    <s v="05-04-2026"/>
    <s v="TXN1034"/>
    <x v="3"/>
    <m/>
    <n v="1766"/>
    <n v="103383"/>
    <s v="Match"/>
  </r>
  <r>
    <s v="06-04-2026"/>
    <s v="TXN1035"/>
    <x v="1"/>
    <n v="7757"/>
    <m/>
    <n v="95626"/>
    <s v="Match"/>
  </r>
  <r>
    <s v="07-04-2026"/>
    <s v="TXN1036"/>
    <x v="6"/>
    <n v="3449"/>
    <m/>
    <n v="92177"/>
    <s v="Match"/>
  </r>
  <r>
    <s v="08-04-2026"/>
    <s v="TXN1037"/>
    <x v="8"/>
    <n v="2936"/>
    <m/>
    <n v="89241"/>
    <s v="Match"/>
  </r>
  <r>
    <s v="09-04-2026"/>
    <s v="TXN1038"/>
    <x v="5"/>
    <n v="7530"/>
    <m/>
    <n v="81711"/>
    <s v="Match"/>
  </r>
  <r>
    <s v="10-04-2026"/>
    <s v="TXN1039"/>
    <x v="3"/>
    <m/>
    <n v="6404"/>
    <n v="88115"/>
    <s v="Match"/>
  </r>
  <r>
    <s v="11-04-2026"/>
    <s v="TXN1040"/>
    <x v="9"/>
    <n v="4195"/>
    <m/>
    <n v="83970"/>
    <s v="Mismatch"/>
  </r>
  <r>
    <s v="12-04-2026"/>
    <s v="TXN1041"/>
    <x v="0"/>
    <m/>
    <n v="9274"/>
    <n v="93244"/>
    <s v="Match"/>
  </r>
  <r>
    <s v="13-04-2026"/>
    <s v="TXN1042"/>
    <x v="6"/>
    <n v="684"/>
    <m/>
    <n v="92560"/>
    <s v="Match"/>
  </r>
  <r>
    <s v="14-04-2026"/>
    <s v="TXN1043"/>
    <x v="3"/>
    <m/>
    <n v="4307"/>
    <n v="96867"/>
    <s v="Match"/>
  </r>
  <r>
    <s v="15-04-2026"/>
    <s v="TXN1044"/>
    <x v="7"/>
    <m/>
    <n v="2549"/>
    <n v="99416"/>
    <s v="Match"/>
  </r>
  <r>
    <s v="17-04-2026"/>
    <s v="TXN1046"/>
    <x v="6"/>
    <n v="4296"/>
    <m/>
    <n v="93189"/>
    <s v="Match"/>
  </r>
  <r>
    <s v="18-04-2026"/>
    <s v="TXN1047"/>
    <x v="8"/>
    <n v="2986"/>
    <m/>
    <n v="90203"/>
    <s v="Match"/>
  </r>
  <r>
    <s v="19-04-2026"/>
    <s v="TXN1048"/>
    <x v="2"/>
    <m/>
    <n v="7153"/>
    <n v="97356"/>
    <s v="Match"/>
  </r>
  <r>
    <s v="20-04-2026"/>
    <s v="TXN1049"/>
    <x v="7"/>
    <m/>
    <n v="2656"/>
    <n v="100012"/>
    <s v="Match"/>
  </r>
  <r>
    <s v="21-04-2026"/>
    <s v="TXN1050"/>
    <x v="6"/>
    <n v="7823"/>
    <m/>
    <n v="92189"/>
    <s v="Match"/>
  </r>
  <r>
    <s v="22-04-2026"/>
    <s v="TXN1051"/>
    <x v="4"/>
    <m/>
    <n v="1044"/>
    <n v="93233"/>
    <s v="Match"/>
  </r>
  <r>
    <s v="23-04-2026"/>
    <s v="TXN1052"/>
    <x v="9"/>
    <n v="4878"/>
    <m/>
    <n v="88355"/>
    <s v="Match"/>
  </r>
  <r>
    <s v="24-04-2026"/>
    <s v="TXN1053"/>
    <x v="9"/>
    <n v="2999"/>
    <m/>
    <n v="85356"/>
    <s v="Match"/>
  </r>
  <r>
    <s v="25-04-2026"/>
    <s v="TXN1054"/>
    <x v="1"/>
    <n v="3409"/>
    <m/>
    <n v="81947"/>
    <s v="Match"/>
  </r>
  <r>
    <s v="26-04-2026"/>
    <s v="TXN1055"/>
    <x v="9"/>
    <n v="2187"/>
    <m/>
    <n v="79760"/>
    <s v="Match"/>
  </r>
  <r>
    <s v="27-04-2026"/>
    <s v="TXN1056"/>
    <x v="8"/>
    <n v="4962"/>
    <m/>
    <n v="74798"/>
    <s v="Match"/>
  </r>
  <r>
    <s v="28-04-2026"/>
    <s v="TXN1057"/>
    <x v="8"/>
    <n v="846"/>
    <m/>
    <n v="73952"/>
    <s v="Match"/>
  </r>
  <r>
    <s v="29-04-2026"/>
    <s v="TXN1058"/>
    <x v="7"/>
    <m/>
    <n v="3653"/>
    <n v="77605"/>
    <s v="Match"/>
  </r>
  <r>
    <s v="30-04-2026"/>
    <s v="TXN1059"/>
    <x v="2"/>
    <m/>
    <n v="7892"/>
    <n v="85497"/>
    <s v="Match"/>
  </r>
  <r>
    <s v="02-04-2026"/>
    <s v="TXN1061"/>
    <x v="0"/>
    <m/>
    <n v="9412"/>
    <n v="103933"/>
    <s v="Match"/>
  </r>
  <r>
    <s v="03-04-2026"/>
    <s v="TXN1062"/>
    <x v="7"/>
    <m/>
    <n v="5557"/>
    <n v="109490"/>
    <s v="Match"/>
  </r>
  <r>
    <s v="04-04-2026"/>
    <s v="TXN1063"/>
    <x v="5"/>
    <n v="7443"/>
    <m/>
    <n v="102047"/>
    <s v="Match"/>
  </r>
  <r>
    <s v="05-04-2026"/>
    <s v="TXN1064"/>
    <x v="6"/>
    <n v="643"/>
    <m/>
    <n v="101404"/>
    <s v="Match"/>
  </r>
  <r>
    <s v="06-04-2026"/>
    <s v="TXN1065"/>
    <x v="4"/>
    <m/>
    <n v="2139"/>
    <n v="103543"/>
    <s v="Match"/>
  </r>
  <r>
    <s v="07-04-2026"/>
    <s v="TXN1066"/>
    <x v="7"/>
    <m/>
    <n v="2249"/>
    <n v="105792"/>
    <s v="Match"/>
  </r>
  <r>
    <s v="08-04-2026"/>
    <s v="TXN1067"/>
    <x v="7"/>
    <m/>
    <n v="8692"/>
    <n v="114484"/>
    <s v="Match"/>
  </r>
  <r>
    <s v="09-04-2026"/>
    <s v="TXN1068"/>
    <x v="5"/>
    <n v="2316"/>
    <m/>
    <n v="112168"/>
    <s v="Match"/>
  </r>
  <r>
    <s v="10-04-2026"/>
    <s v="TXN1069"/>
    <x v="1"/>
    <n v="1884"/>
    <m/>
    <n v="110284"/>
    <s v="Match"/>
  </r>
  <r>
    <s v="11-04-2026"/>
    <s v="TXN1070"/>
    <x v="7"/>
    <m/>
    <n v="816"/>
    <n v="111100"/>
    <s v="Match"/>
  </r>
  <r>
    <s v="12-04-2026"/>
    <s v="TXN1071"/>
    <x v="8"/>
    <n v="4082"/>
    <m/>
    <n v="107018"/>
    <s v="Match"/>
  </r>
  <r>
    <s v="13-04-2026"/>
    <s v="TXN1072"/>
    <x v="4"/>
    <m/>
    <n v="7783"/>
    <n v="114826"/>
    <s v="Mismatch"/>
  </r>
  <r>
    <s v="14-04-2026"/>
    <s v="TXN1073"/>
    <x v="4"/>
    <m/>
    <n v="7180"/>
    <n v="122006"/>
    <s v="Match"/>
  </r>
  <r>
    <s v="15-04-2026"/>
    <s v="TXN1074"/>
    <x v="8"/>
    <n v="5295"/>
    <m/>
    <n v="116711"/>
    <s v="Match"/>
  </r>
  <r>
    <s v="17-04-2026"/>
    <s v="TXN1076"/>
    <x v="0"/>
    <m/>
    <n v="8745"/>
    <n v="130833"/>
    <s v="Match"/>
  </r>
  <r>
    <s v="18-04-2026"/>
    <s v="TXN1077"/>
    <x v="5"/>
    <n v="561"/>
    <m/>
    <n v="130272"/>
    <s v="Match"/>
  </r>
  <r>
    <s v="19-04-2026"/>
    <s v="TXN1078"/>
    <x v="6"/>
    <n v="5575"/>
    <m/>
    <n v="124697"/>
    <s v="Match"/>
  </r>
  <r>
    <s v="20-04-2026"/>
    <s v="TXN1079"/>
    <x v="4"/>
    <m/>
    <n v="918"/>
    <n v="125615"/>
    <s v="Match"/>
  </r>
  <r>
    <s v="21-04-2026"/>
    <s v="TXN1080"/>
    <x v="9"/>
    <n v="1105"/>
    <m/>
    <n v="124560"/>
    <s v="Mismatch"/>
  </r>
  <r>
    <s v="22-04-2026"/>
    <s v="TXN1081"/>
    <x v="4"/>
    <m/>
    <n v="1665"/>
    <n v="126225"/>
    <s v="Match"/>
  </r>
  <r>
    <s v="23-04-2026"/>
    <s v="TXN1082"/>
    <x v="3"/>
    <m/>
    <n v="9334"/>
    <n v="135559"/>
    <s v="Match"/>
  </r>
  <r>
    <s v="24-04-2026"/>
    <s v="TXN1083"/>
    <x v="5"/>
    <n v="3126"/>
    <m/>
    <n v="132433"/>
    <s v="Match"/>
  </r>
  <r>
    <s v="25-04-2026"/>
    <s v="TXN1084"/>
    <x v="8"/>
    <n v="701"/>
    <m/>
    <n v="131732"/>
    <s v="Match"/>
  </r>
  <r>
    <s v="26-04-2026"/>
    <s v="TXN1085"/>
    <x v="6"/>
    <n v="6151"/>
    <m/>
    <n v="125581"/>
    <s v="Match"/>
  </r>
  <r>
    <s v="27-04-2026"/>
    <s v="TXN1086"/>
    <x v="4"/>
    <m/>
    <n v="4690"/>
    <n v="130271"/>
    <s v="Match"/>
  </r>
  <r>
    <s v="28-04-2026"/>
    <s v="TXN1087"/>
    <x v="1"/>
    <n v="992"/>
    <m/>
    <n v="129279"/>
    <s v="Match"/>
  </r>
  <r>
    <s v="29-04-2026"/>
    <s v="TXN1088"/>
    <x v="3"/>
    <m/>
    <n v="6022"/>
    <n v="135301"/>
    <s v="Match"/>
  </r>
  <r>
    <s v="30-04-2026"/>
    <s v="TXN1089"/>
    <x v="7"/>
    <m/>
    <n v="5013"/>
    <n v="140314"/>
    <s v="Match"/>
  </r>
  <r>
    <s v="02-04-2026"/>
    <s v="TXN1091"/>
    <x v="2"/>
    <m/>
    <n v="8977"/>
    <n v="158565"/>
    <s v="Match"/>
  </r>
  <r>
    <s v="03-04-2026"/>
    <s v="TXN1092"/>
    <x v="3"/>
    <m/>
    <n v="3211"/>
    <n v="161776"/>
    <s v="Match"/>
  </r>
  <r>
    <s v="04-04-2026"/>
    <s v="TXN1093"/>
    <x v="6"/>
    <n v="993"/>
    <m/>
    <n v="160783"/>
    <s v="Match"/>
  </r>
  <r>
    <s v="05-04-2026"/>
    <s v="TXN1094"/>
    <x v="8"/>
    <n v="6193"/>
    <m/>
    <n v="154590"/>
    <s v="Match"/>
  </r>
  <r>
    <s v="06-04-2026"/>
    <s v="TXN1095"/>
    <x v="9"/>
    <n v="7225"/>
    <m/>
    <n v="147365"/>
    <s v="Match"/>
  </r>
  <r>
    <s v="07-04-2026"/>
    <s v="TXN1096"/>
    <x v="9"/>
    <n v="7022"/>
    <m/>
    <n v="140343"/>
    <s v="Match"/>
  </r>
  <r>
    <s v="08-04-2026"/>
    <s v="TXN1097"/>
    <x v="0"/>
    <m/>
    <n v="3312"/>
    <n v="143655"/>
    <s v="Match"/>
  </r>
  <r>
    <s v="09-04-2026"/>
    <s v="TXN1098"/>
    <x v="7"/>
    <m/>
    <n v="8306"/>
    <n v="151961"/>
    <s v="Match"/>
  </r>
  <r>
    <s v="10-04-2026"/>
    <s v="TXN1099"/>
    <x v="2"/>
    <m/>
    <n v="7877"/>
    <n v="159838"/>
    <s v="Mat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F43D4-C7C5-4596-B069-012B1AB102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4" firstHeaderRow="0" firstDataRow="1" firstDataCol="1"/>
  <pivotFields count="7">
    <pivotField showAll="0"/>
    <pivotField showAll="0"/>
    <pivotField axis="axisRow" showAll="0">
      <items count="11">
        <item x="5"/>
        <item x="6"/>
        <item x="8"/>
        <item x="0"/>
        <item x="1"/>
        <item x="2"/>
        <item x="7"/>
        <item x="3"/>
        <item x="4"/>
        <item x="9"/>
        <item t="default"/>
      </items>
    </pivotField>
    <pivotField dataField="1" showAll="0"/>
    <pivotField dataField="1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3" baseField="0" baseItem="0"/>
    <dataField name="Sum of Credit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K11" sqref="K11"/>
    </sheetView>
  </sheetViews>
  <sheetFormatPr defaultRowHeight="14.4"/>
  <cols>
    <col min="1" max="1" width="10.77734375" customWidth="1"/>
    <col min="2" max="2" width="14.33203125" customWidth="1"/>
    <col min="3" max="3" width="19" customWidth="1"/>
    <col min="4" max="4" width="10.5546875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156</v>
      </c>
    </row>
    <row r="2" spans="1:8">
      <c r="A2" t="s">
        <v>6</v>
      </c>
      <c r="B2" t="s">
        <v>7</v>
      </c>
      <c r="C2" t="s">
        <v>8</v>
      </c>
      <c r="D2">
        <v>3953</v>
      </c>
      <c r="F2">
        <v>46047</v>
      </c>
      <c r="H2" t="str">
        <f>IF(ISNA(VLOOKUP(B2,Cash_Book!B:B,1,FALSE)),"Missing","Found")</f>
        <v>Missing</v>
      </c>
    </row>
    <row r="3" spans="1:8">
      <c r="A3" t="s">
        <v>9</v>
      </c>
      <c r="B3" t="s">
        <v>10</v>
      </c>
      <c r="C3" t="s">
        <v>11</v>
      </c>
      <c r="E3">
        <v>9769</v>
      </c>
      <c r="F3">
        <v>55816</v>
      </c>
      <c r="H3" t="str">
        <f>IF(ISNA(VLOOKUP(B3,Cash_Book!B:D,2,FALSE)),"Missing","Found")</f>
        <v>Found</v>
      </c>
    </row>
    <row r="4" spans="1:8">
      <c r="A4" t="s">
        <v>12</v>
      </c>
      <c r="B4" t="s">
        <v>13</v>
      </c>
      <c r="C4" t="s">
        <v>14</v>
      </c>
      <c r="D4">
        <v>4142</v>
      </c>
      <c r="F4">
        <v>51674</v>
      </c>
      <c r="H4" t="str">
        <f>IF(ISNA(VLOOKUP(B4,Cash_Book!B:D,2,FALSE)),"Missing","Found")</f>
        <v>Found</v>
      </c>
    </row>
    <row r="5" spans="1:8">
      <c r="A5" t="s">
        <v>15</v>
      </c>
      <c r="B5" t="s">
        <v>16</v>
      </c>
      <c r="C5" t="s">
        <v>17</v>
      </c>
      <c r="E5">
        <v>4282</v>
      </c>
      <c r="F5">
        <v>55956</v>
      </c>
      <c r="H5" t="str">
        <f>IF(ISNA(VLOOKUP(B5,Cash_Book!B:D,2,FALSE)),"Missing","Found")</f>
        <v>Found</v>
      </c>
    </row>
    <row r="6" spans="1:8">
      <c r="A6" t="s">
        <v>18</v>
      </c>
      <c r="B6" t="s">
        <v>19</v>
      </c>
      <c r="C6" t="s">
        <v>20</v>
      </c>
      <c r="E6">
        <v>8715</v>
      </c>
      <c r="F6">
        <v>64671</v>
      </c>
      <c r="H6" t="str">
        <f>IF(ISNA(VLOOKUP(B6,Cash_Book!B:D,2,FALSE)),"Missing","Found")</f>
        <v>Found</v>
      </c>
    </row>
    <row r="7" spans="1:8">
      <c r="A7" t="s">
        <v>21</v>
      </c>
      <c r="B7" t="s">
        <v>22</v>
      </c>
      <c r="C7" t="s">
        <v>23</v>
      </c>
      <c r="E7">
        <v>7433</v>
      </c>
      <c r="F7">
        <v>72104</v>
      </c>
      <c r="H7" t="str">
        <f>IF(ISNA(VLOOKUP(B7,Cash_Book!B:D,2,FALSE)),"Missing","Found")</f>
        <v>Found</v>
      </c>
    </row>
    <row r="8" spans="1:8">
      <c r="A8" t="s">
        <v>24</v>
      </c>
      <c r="B8" t="s">
        <v>25</v>
      </c>
      <c r="C8" t="s">
        <v>26</v>
      </c>
      <c r="D8">
        <v>4347</v>
      </c>
      <c r="F8">
        <v>67757</v>
      </c>
      <c r="H8" t="str">
        <f>IF(ISNA(VLOOKUP(B8,Cash_Book!B:D,2,FALSE)),"Missing","Found")</f>
        <v>Found</v>
      </c>
    </row>
    <row r="9" spans="1:8">
      <c r="A9" t="s">
        <v>27</v>
      </c>
      <c r="B9" t="s">
        <v>28</v>
      </c>
      <c r="C9" t="s">
        <v>29</v>
      </c>
      <c r="D9">
        <v>4463</v>
      </c>
      <c r="F9">
        <v>63294</v>
      </c>
      <c r="H9" t="str">
        <f>IF(ISNA(VLOOKUP(B9,Cash_Book!B:D,2,FALSE)),"Missing","Found")</f>
        <v>Found</v>
      </c>
    </row>
    <row r="10" spans="1:8">
      <c r="A10" t="s">
        <v>30</v>
      </c>
      <c r="B10" t="s">
        <v>31</v>
      </c>
      <c r="C10" t="s">
        <v>32</v>
      </c>
      <c r="E10">
        <v>7717</v>
      </c>
      <c r="F10">
        <v>71011</v>
      </c>
      <c r="H10" t="str">
        <f>IF(ISNA(VLOOKUP(B10,Cash_Book!B:D,2,FALSE)),"Missing","Found")</f>
        <v>Found</v>
      </c>
    </row>
    <row r="11" spans="1:8">
      <c r="A11" t="s">
        <v>33</v>
      </c>
      <c r="B11" t="s">
        <v>34</v>
      </c>
      <c r="C11" t="s">
        <v>32</v>
      </c>
      <c r="E11">
        <v>4562</v>
      </c>
      <c r="F11">
        <v>75573</v>
      </c>
      <c r="H11" t="str">
        <f>IF(ISNA(VLOOKUP(B11,Cash_Book!B:D,2,FALSE)),"Missing","Found")</f>
        <v>Found</v>
      </c>
    </row>
    <row r="12" spans="1:8">
      <c r="A12" t="s">
        <v>35</v>
      </c>
      <c r="B12" t="s">
        <v>36</v>
      </c>
      <c r="C12" t="s">
        <v>20</v>
      </c>
      <c r="E12">
        <v>3826</v>
      </c>
      <c r="F12">
        <v>79399</v>
      </c>
      <c r="H12" t="str">
        <f>IF(ISNA(VLOOKUP(B12,Cash_Book!B:D,2,FALSE)),"Missing","Found")</f>
        <v>Found</v>
      </c>
    </row>
    <row r="13" spans="1:8">
      <c r="A13" t="s">
        <v>37</v>
      </c>
      <c r="B13" t="s">
        <v>38</v>
      </c>
      <c r="C13" t="s">
        <v>14</v>
      </c>
      <c r="D13">
        <v>6010</v>
      </c>
      <c r="F13">
        <v>73389</v>
      </c>
      <c r="H13" t="str">
        <f>IF(ISNA(VLOOKUP(B13,Cash_Book!B:D,2,FALSE)),"Missing","Found")</f>
        <v>Found</v>
      </c>
    </row>
    <row r="14" spans="1:8">
      <c r="A14" t="s">
        <v>39</v>
      </c>
      <c r="B14" t="s">
        <v>40</v>
      </c>
      <c r="C14" t="s">
        <v>32</v>
      </c>
      <c r="E14">
        <v>1679</v>
      </c>
      <c r="F14">
        <v>75068</v>
      </c>
      <c r="H14" t="str">
        <f>IF(ISNA(VLOOKUP(B14,Cash_Book!B:D,2,FALSE)),"Missing","Found")</f>
        <v>Found</v>
      </c>
    </row>
    <row r="15" spans="1:8">
      <c r="A15" t="s">
        <v>41</v>
      </c>
      <c r="B15" t="s">
        <v>42</v>
      </c>
      <c r="C15" t="s">
        <v>29</v>
      </c>
      <c r="D15">
        <v>738</v>
      </c>
      <c r="F15">
        <v>74330</v>
      </c>
      <c r="H15" t="str">
        <f>IF(ISNA(VLOOKUP(B15,Cash_Book!B:D,2,FALSE)),"Missing","Found")</f>
        <v>Found</v>
      </c>
    </row>
    <row r="16" spans="1:8">
      <c r="A16" t="s">
        <v>43</v>
      </c>
      <c r="B16" t="s">
        <v>44</v>
      </c>
      <c r="C16" t="s">
        <v>29</v>
      </c>
      <c r="D16">
        <v>726</v>
      </c>
      <c r="F16">
        <v>73604</v>
      </c>
      <c r="H16" t="str">
        <f>IF(ISNA(VLOOKUP(B16,Cash_Book!B:D,2,FALSE)),"Missing","Found")</f>
        <v>Found</v>
      </c>
    </row>
    <row r="17" spans="1:8">
      <c r="A17" t="s">
        <v>45</v>
      </c>
      <c r="B17" t="s">
        <v>46</v>
      </c>
      <c r="C17" t="s">
        <v>20</v>
      </c>
      <c r="E17">
        <v>4261</v>
      </c>
      <c r="F17">
        <v>77865</v>
      </c>
      <c r="H17" t="str">
        <f>IF(ISNA(VLOOKUP(B17,Cash_Book!B:D,2,FALSE)),"Missing","Found")</f>
        <v>Missing</v>
      </c>
    </row>
    <row r="18" spans="1:8">
      <c r="A18" t="s">
        <v>47</v>
      </c>
      <c r="B18" t="s">
        <v>48</v>
      </c>
      <c r="C18" t="s">
        <v>26</v>
      </c>
      <c r="D18">
        <v>327</v>
      </c>
      <c r="F18">
        <v>77538</v>
      </c>
      <c r="H18" t="str">
        <f>IF(ISNA(VLOOKUP(B18,Cash_Book!B:D,2,FALSE)),"Missing","Found")</f>
        <v>Found</v>
      </c>
    </row>
    <row r="19" spans="1:8">
      <c r="A19" t="s">
        <v>49</v>
      </c>
      <c r="B19" t="s">
        <v>50</v>
      </c>
      <c r="C19" t="s">
        <v>20</v>
      </c>
      <c r="E19">
        <v>9248</v>
      </c>
      <c r="F19">
        <v>86786</v>
      </c>
      <c r="H19" t="str">
        <f>IF(ISNA(VLOOKUP(B19,Cash_Book!B:D,2,FALSE)),"Missing","Found")</f>
        <v>Found</v>
      </c>
    </row>
    <row r="20" spans="1:8">
      <c r="A20" t="s">
        <v>51</v>
      </c>
      <c r="B20" t="s">
        <v>52</v>
      </c>
      <c r="C20" t="s">
        <v>32</v>
      </c>
      <c r="E20">
        <v>1750</v>
      </c>
      <c r="F20">
        <v>88536</v>
      </c>
      <c r="H20" t="str">
        <f>IF(ISNA(VLOOKUP(B20,Cash_Book!B:D,2,FALSE)),"Missing","Found")</f>
        <v>Found</v>
      </c>
    </row>
    <row r="21" spans="1:8">
      <c r="A21" t="s">
        <v>53</v>
      </c>
      <c r="B21" t="s">
        <v>54</v>
      </c>
      <c r="C21" t="s">
        <v>17</v>
      </c>
      <c r="E21">
        <v>4600</v>
      </c>
      <c r="F21">
        <v>93136</v>
      </c>
      <c r="H21" t="str">
        <f>IF(ISNA(VLOOKUP(B21,Cash_Book!B:D,2,FALSE)),"Missing","Found")</f>
        <v>Found</v>
      </c>
    </row>
    <row r="22" spans="1:8">
      <c r="A22" t="s">
        <v>55</v>
      </c>
      <c r="B22" t="s">
        <v>56</v>
      </c>
      <c r="C22" t="s">
        <v>11</v>
      </c>
      <c r="E22">
        <v>4978</v>
      </c>
      <c r="F22">
        <v>98114</v>
      </c>
      <c r="H22" t="str">
        <f>IF(ISNA(VLOOKUP(B22,Cash_Book!B:D,2,FALSE)),"Missing","Found")</f>
        <v>Found</v>
      </c>
    </row>
    <row r="23" spans="1:8">
      <c r="A23" t="s">
        <v>57</v>
      </c>
      <c r="B23" t="s">
        <v>58</v>
      </c>
      <c r="C23" t="s">
        <v>14</v>
      </c>
      <c r="D23">
        <v>5630</v>
      </c>
      <c r="F23">
        <v>92484</v>
      </c>
      <c r="H23" t="str">
        <f>IF(ISNA(VLOOKUP(B23,Cash_Book!B:D,2,FALSE)),"Missing","Found")</f>
        <v>Found</v>
      </c>
    </row>
    <row r="24" spans="1:8">
      <c r="A24" t="s">
        <v>59</v>
      </c>
      <c r="B24" t="s">
        <v>60</v>
      </c>
      <c r="C24" t="s">
        <v>61</v>
      </c>
      <c r="D24">
        <v>3885</v>
      </c>
      <c r="F24">
        <v>88599</v>
      </c>
      <c r="H24" t="str">
        <f>IF(ISNA(VLOOKUP(B24,Cash_Book!B:D,2,FALSE)),"Missing","Found")</f>
        <v>Found</v>
      </c>
    </row>
    <row r="25" spans="1:8">
      <c r="A25" t="s">
        <v>62</v>
      </c>
      <c r="B25" t="s">
        <v>63</v>
      </c>
      <c r="C25" t="s">
        <v>29</v>
      </c>
      <c r="D25">
        <v>4845</v>
      </c>
      <c r="F25">
        <v>83754</v>
      </c>
      <c r="H25" t="str">
        <f>IF(ISNA(VLOOKUP(B25,Cash_Book!B:D,2,FALSE)),"Missing","Found")</f>
        <v>Found</v>
      </c>
    </row>
    <row r="26" spans="1:8">
      <c r="A26" t="s">
        <v>64</v>
      </c>
      <c r="B26" t="s">
        <v>65</v>
      </c>
      <c r="C26" t="s">
        <v>32</v>
      </c>
      <c r="E26">
        <v>5343</v>
      </c>
      <c r="F26">
        <v>89097</v>
      </c>
      <c r="H26" t="str">
        <f>IF(ISNA(VLOOKUP(B26,Cash_Book!B:D,2,FALSE)),"Missing","Found")</f>
        <v>Found</v>
      </c>
    </row>
    <row r="27" spans="1:8">
      <c r="A27" t="s">
        <v>66</v>
      </c>
      <c r="B27" t="s">
        <v>67</v>
      </c>
      <c r="C27" t="s">
        <v>26</v>
      </c>
      <c r="D27">
        <v>5245</v>
      </c>
      <c r="F27">
        <v>83852</v>
      </c>
      <c r="H27" t="str">
        <f>IF(ISNA(VLOOKUP(B27,Cash_Book!B:D,2,FALSE)),"Missing","Found")</f>
        <v>Found</v>
      </c>
    </row>
    <row r="28" spans="1:8">
      <c r="A28" t="s">
        <v>68</v>
      </c>
      <c r="B28" t="s">
        <v>69</v>
      </c>
      <c r="C28" t="s">
        <v>20</v>
      </c>
      <c r="E28">
        <v>1936</v>
      </c>
      <c r="F28">
        <v>85788</v>
      </c>
      <c r="H28" t="str">
        <f>IF(ISNA(VLOOKUP(B28,Cash_Book!B:D,2,FALSE)),"Missing","Found")</f>
        <v>Found</v>
      </c>
    </row>
    <row r="29" spans="1:8">
      <c r="A29" t="s">
        <v>70</v>
      </c>
      <c r="B29" t="s">
        <v>71</v>
      </c>
      <c r="C29" t="s">
        <v>20</v>
      </c>
      <c r="E29">
        <v>8843</v>
      </c>
      <c r="F29">
        <v>94631</v>
      </c>
      <c r="H29" t="str">
        <f>IF(ISNA(VLOOKUP(B29,Cash_Book!B:D,2,FALSE)),"Missing","Found")</f>
        <v>Found</v>
      </c>
    </row>
    <row r="30" spans="1:8">
      <c r="A30" t="s">
        <v>72</v>
      </c>
      <c r="B30" t="s">
        <v>73</v>
      </c>
      <c r="C30" t="s">
        <v>8</v>
      </c>
      <c r="D30">
        <v>4804</v>
      </c>
      <c r="F30">
        <v>89827</v>
      </c>
      <c r="H30" t="str">
        <f>IF(ISNA(VLOOKUP(B30,Cash_Book!B:D,2,FALSE)),"Missing","Found")</f>
        <v>Found</v>
      </c>
    </row>
    <row r="31" spans="1:8">
      <c r="A31" t="s">
        <v>74</v>
      </c>
      <c r="B31" t="s">
        <v>75</v>
      </c>
      <c r="C31" t="s">
        <v>23</v>
      </c>
      <c r="E31">
        <v>570</v>
      </c>
      <c r="F31">
        <v>90397</v>
      </c>
      <c r="H31" t="str">
        <f>IF(ISNA(VLOOKUP(B31,Cash_Book!B:D,2,FALSE)),"Missing","Found")</f>
        <v>Found</v>
      </c>
    </row>
    <row r="32" spans="1:8">
      <c r="A32" t="s">
        <v>6</v>
      </c>
      <c r="B32" t="s">
        <v>76</v>
      </c>
      <c r="C32" t="s">
        <v>23</v>
      </c>
      <c r="E32">
        <v>7936</v>
      </c>
      <c r="F32">
        <v>98333</v>
      </c>
      <c r="H32" t="str">
        <f>IF(ISNA(VLOOKUP(B32,Cash_Book!B:D,2,FALSE)),"Missing","Found")</f>
        <v>Missing</v>
      </c>
    </row>
    <row r="33" spans="1:8">
      <c r="A33" t="s">
        <v>9</v>
      </c>
      <c r="B33" t="s">
        <v>77</v>
      </c>
      <c r="C33" t="s">
        <v>26</v>
      </c>
      <c r="D33">
        <v>4087</v>
      </c>
      <c r="F33">
        <v>94246</v>
      </c>
      <c r="H33" t="str">
        <f>IF(ISNA(VLOOKUP(B33,Cash_Book!B:D,2,FALSE)),"Missing","Found")</f>
        <v>Found</v>
      </c>
    </row>
    <row r="34" spans="1:8">
      <c r="A34" t="s">
        <v>12</v>
      </c>
      <c r="B34" t="s">
        <v>78</v>
      </c>
      <c r="C34" t="s">
        <v>17</v>
      </c>
      <c r="E34">
        <v>5948</v>
      </c>
      <c r="F34">
        <v>100194</v>
      </c>
      <c r="H34" t="str">
        <f>IF(ISNA(VLOOKUP(B34,Cash_Book!B:D,2,FALSE)),"Missing","Found")</f>
        <v>Found</v>
      </c>
    </row>
    <row r="35" spans="1:8">
      <c r="A35" t="s">
        <v>15</v>
      </c>
      <c r="B35" t="s">
        <v>79</v>
      </c>
      <c r="C35" t="s">
        <v>32</v>
      </c>
      <c r="E35">
        <v>1423</v>
      </c>
      <c r="F35">
        <v>101617</v>
      </c>
      <c r="H35" t="str">
        <f>IF(ISNA(VLOOKUP(B35,Cash_Book!B:D,2,FALSE)),"Missing","Found")</f>
        <v>Found</v>
      </c>
    </row>
    <row r="36" spans="1:8">
      <c r="A36" t="s">
        <v>18</v>
      </c>
      <c r="B36" t="s">
        <v>80</v>
      </c>
      <c r="C36" t="s">
        <v>20</v>
      </c>
      <c r="E36">
        <v>1766</v>
      </c>
      <c r="F36">
        <v>103383</v>
      </c>
      <c r="H36" t="str">
        <f>IF(ISNA(VLOOKUP(B36,Cash_Book!B:D,2,FALSE)),"Missing","Found")</f>
        <v>Found</v>
      </c>
    </row>
    <row r="37" spans="1:8">
      <c r="A37" t="s">
        <v>21</v>
      </c>
      <c r="B37" t="s">
        <v>81</v>
      </c>
      <c r="C37" t="s">
        <v>14</v>
      </c>
      <c r="D37">
        <v>7757</v>
      </c>
      <c r="F37">
        <v>95626</v>
      </c>
      <c r="H37" t="str">
        <f>IF(ISNA(VLOOKUP(B37,Cash_Book!B:D,2,FALSE)),"Missing","Found")</f>
        <v>Found</v>
      </c>
    </row>
    <row r="38" spans="1:8">
      <c r="A38" t="s">
        <v>24</v>
      </c>
      <c r="B38" t="s">
        <v>82</v>
      </c>
      <c r="C38" t="s">
        <v>29</v>
      </c>
      <c r="D38">
        <v>3449</v>
      </c>
      <c r="F38">
        <v>92177</v>
      </c>
      <c r="H38" t="str">
        <f>IF(ISNA(VLOOKUP(B38,Cash_Book!B:D,2,FALSE)),"Missing","Found")</f>
        <v>Found</v>
      </c>
    </row>
    <row r="39" spans="1:8">
      <c r="A39" t="s">
        <v>27</v>
      </c>
      <c r="B39" t="s">
        <v>83</v>
      </c>
      <c r="C39" t="s">
        <v>61</v>
      </c>
      <c r="D39">
        <v>2936</v>
      </c>
      <c r="F39">
        <v>89241</v>
      </c>
      <c r="H39" t="str">
        <f>IF(ISNA(VLOOKUP(B39,Cash_Book!B:D,2,FALSE)),"Missing","Found")</f>
        <v>Found</v>
      </c>
    </row>
    <row r="40" spans="1:8">
      <c r="A40" t="s">
        <v>30</v>
      </c>
      <c r="B40" t="s">
        <v>84</v>
      </c>
      <c r="C40" t="s">
        <v>26</v>
      </c>
      <c r="D40">
        <v>7530</v>
      </c>
      <c r="F40">
        <v>81711</v>
      </c>
      <c r="H40" t="str">
        <f>IF(ISNA(VLOOKUP(B40,Cash_Book!B:D,2,FALSE)),"Missing","Found")</f>
        <v>Found</v>
      </c>
    </row>
    <row r="41" spans="1:8">
      <c r="A41" t="s">
        <v>33</v>
      </c>
      <c r="B41" t="s">
        <v>85</v>
      </c>
      <c r="C41" t="s">
        <v>20</v>
      </c>
      <c r="E41">
        <v>6404</v>
      </c>
      <c r="F41">
        <v>88115</v>
      </c>
      <c r="H41" t="str">
        <f>IF(ISNA(VLOOKUP(B41,Cash_Book!B:D,2,FALSE)),"Missing","Found")</f>
        <v>Found</v>
      </c>
    </row>
    <row r="42" spans="1:8">
      <c r="A42" t="s">
        <v>35</v>
      </c>
      <c r="B42" t="s">
        <v>86</v>
      </c>
      <c r="C42" t="s">
        <v>8</v>
      </c>
      <c r="D42">
        <v>4145</v>
      </c>
      <c r="F42">
        <v>83970</v>
      </c>
      <c r="H42" t="str">
        <f>IF(ISNA(VLOOKUP(B42,Cash_Book!B:D,2,FALSE)),"Missing","Found")</f>
        <v>Found</v>
      </c>
    </row>
    <row r="43" spans="1:8">
      <c r="A43" t="s">
        <v>37</v>
      </c>
      <c r="B43" t="s">
        <v>87</v>
      </c>
      <c r="C43" t="s">
        <v>11</v>
      </c>
      <c r="E43">
        <v>9274</v>
      </c>
      <c r="F43">
        <v>93244</v>
      </c>
      <c r="H43" t="str">
        <f>IF(ISNA(VLOOKUP(B43,Cash_Book!B:D,2,FALSE)),"Missing","Found")</f>
        <v>Found</v>
      </c>
    </row>
    <row r="44" spans="1:8">
      <c r="A44" t="s">
        <v>39</v>
      </c>
      <c r="B44" t="s">
        <v>88</v>
      </c>
      <c r="C44" t="s">
        <v>29</v>
      </c>
      <c r="D44">
        <v>684</v>
      </c>
      <c r="F44">
        <v>92560</v>
      </c>
      <c r="H44" t="str">
        <f>IF(ISNA(VLOOKUP(B44,Cash_Book!B:D,2,FALSE)),"Missing","Found")</f>
        <v>Found</v>
      </c>
    </row>
    <row r="45" spans="1:8">
      <c r="A45" t="s">
        <v>41</v>
      </c>
      <c r="B45" t="s">
        <v>89</v>
      </c>
      <c r="C45" t="s">
        <v>20</v>
      </c>
      <c r="E45">
        <v>4307</v>
      </c>
      <c r="F45">
        <v>96867</v>
      </c>
      <c r="H45" t="str">
        <f>IF(ISNA(VLOOKUP(B45,Cash_Book!B:D,2,FALSE)),"Missing","Found")</f>
        <v>Found</v>
      </c>
    </row>
    <row r="46" spans="1:8">
      <c r="A46" t="s">
        <v>43</v>
      </c>
      <c r="B46" t="s">
        <v>90</v>
      </c>
      <c r="C46" t="s">
        <v>32</v>
      </c>
      <c r="E46">
        <v>2549</v>
      </c>
      <c r="F46">
        <v>99416</v>
      </c>
      <c r="H46" t="str">
        <f>IF(ISNA(VLOOKUP(B46,Cash_Book!B:D,2,FALSE)),"Missing","Found")</f>
        <v>Found</v>
      </c>
    </row>
    <row r="47" spans="1:8">
      <c r="A47" t="s">
        <v>45</v>
      </c>
      <c r="B47" t="s">
        <v>91</v>
      </c>
      <c r="C47" t="s">
        <v>8</v>
      </c>
      <c r="D47">
        <v>1931</v>
      </c>
      <c r="F47">
        <v>97485</v>
      </c>
      <c r="H47" t="str">
        <f>IF(ISNA(VLOOKUP(B47,Cash_Book!B:D,2,FALSE)),"Missing","Found")</f>
        <v>Missing</v>
      </c>
    </row>
    <row r="48" spans="1:8">
      <c r="A48" t="s">
        <v>47</v>
      </c>
      <c r="B48" t="s">
        <v>92</v>
      </c>
      <c r="C48" t="s">
        <v>29</v>
      </c>
      <c r="D48">
        <v>4296</v>
      </c>
      <c r="F48">
        <v>93189</v>
      </c>
      <c r="H48" t="str">
        <f>IF(ISNA(VLOOKUP(B48,Cash_Book!B:D,2,FALSE)),"Missing","Found")</f>
        <v>Found</v>
      </c>
    </row>
    <row r="49" spans="1:8">
      <c r="A49" t="s">
        <v>49</v>
      </c>
      <c r="B49" t="s">
        <v>93</v>
      </c>
      <c r="C49" t="s">
        <v>61</v>
      </c>
      <c r="D49">
        <v>2986</v>
      </c>
      <c r="F49">
        <v>90203</v>
      </c>
      <c r="H49" t="str">
        <f>IF(ISNA(VLOOKUP(B49,Cash_Book!B:D,2,FALSE)),"Missing","Found")</f>
        <v>Found</v>
      </c>
    </row>
    <row r="50" spans="1:8">
      <c r="A50" t="s">
        <v>51</v>
      </c>
      <c r="B50" t="s">
        <v>94</v>
      </c>
      <c r="C50" t="s">
        <v>17</v>
      </c>
      <c r="E50">
        <v>7153</v>
      </c>
      <c r="F50">
        <v>97356</v>
      </c>
      <c r="H50" t="str">
        <f>IF(ISNA(VLOOKUP(B50,Cash_Book!B:D,2,FALSE)),"Missing","Found")</f>
        <v>Found</v>
      </c>
    </row>
    <row r="51" spans="1:8">
      <c r="A51" t="s">
        <v>53</v>
      </c>
      <c r="B51" t="s">
        <v>95</v>
      </c>
      <c r="C51" t="s">
        <v>32</v>
      </c>
      <c r="E51">
        <v>2656</v>
      </c>
      <c r="F51">
        <v>100012</v>
      </c>
      <c r="H51" t="str">
        <f>IF(ISNA(VLOOKUP(B51,Cash_Book!B:D,2,FALSE)),"Missing","Found")</f>
        <v>Found</v>
      </c>
    </row>
    <row r="52" spans="1:8">
      <c r="A52" t="s">
        <v>55</v>
      </c>
      <c r="B52" t="s">
        <v>96</v>
      </c>
      <c r="C52" t="s">
        <v>29</v>
      </c>
      <c r="D52">
        <v>7823</v>
      </c>
      <c r="F52">
        <v>92189</v>
      </c>
      <c r="H52" t="str">
        <f>IF(ISNA(VLOOKUP(B52,Cash_Book!B:D,2,FALSE)),"Missing","Found")</f>
        <v>Found</v>
      </c>
    </row>
    <row r="53" spans="1:8">
      <c r="A53" t="s">
        <v>57</v>
      </c>
      <c r="B53" t="s">
        <v>97</v>
      </c>
      <c r="C53" t="s">
        <v>23</v>
      </c>
      <c r="E53">
        <v>1044</v>
      </c>
      <c r="F53">
        <v>93233</v>
      </c>
      <c r="H53" t="str">
        <f>IF(ISNA(VLOOKUP(B53,Cash_Book!B:D,2,FALSE)),"Missing","Found")</f>
        <v>Found</v>
      </c>
    </row>
    <row r="54" spans="1:8">
      <c r="A54" t="s">
        <v>59</v>
      </c>
      <c r="B54" t="s">
        <v>98</v>
      </c>
      <c r="C54" t="s">
        <v>8</v>
      </c>
      <c r="D54">
        <v>4878</v>
      </c>
      <c r="F54">
        <v>88355</v>
      </c>
      <c r="H54" t="str">
        <f>IF(ISNA(VLOOKUP(B54,Cash_Book!B:D,2,FALSE)),"Missing","Found")</f>
        <v>Found</v>
      </c>
    </row>
    <row r="55" spans="1:8">
      <c r="A55" t="s">
        <v>62</v>
      </c>
      <c r="B55" t="s">
        <v>99</v>
      </c>
      <c r="C55" t="s">
        <v>8</v>
      </c>
      <c r="D55">
        <v>2999</v>
      </c>
      <c r="F55">
        <v>85356</v>
      </c>
      <c r="H55" t="str">
        <f>IF(ISNA(VLOOKUP(B55,Cash_Book!B:D,2,FALSE)),"Missing","Found")</f>
        <v>Found</v>
      </c>
    </row>
    <row r="56" spans="1:8">
      <c r="A56" t="s">
        <v>64</v>
      </c>
      <c r="B56" t="s">
        <v>100</v>
      </c>
      <c r="C56" t="s">
        <v>14</v>
      </c>
      <c r="D56">
        <v>3409</v>
      </c>
      <c r="F56">
        <v>81947</v>
      </c>
      <c r="H56" t="str">
        <f>IF(ISNA(VLOOKUP(B56,Cash_Book!B:D,2,FALSE)),"Missing","Found")</f>
        <v>Found</v>
      </c>
    </row>
    <row r="57" spans="1:8">
      <c r="A57" t="s">
        <v>66</v>
      </c>
      <c r="B57" t="s">
        <v>101</v>
      </c>
      <c r="C57" t="s">
        <v>8</v>
      </c>
      <c r="D57">
        <v>2187</v>
      </c>
      <c r="F57">
        <v>79760</v>
      </c>
      <c r="H57" t="str">
        <f>IF(ISNA(VLOOKUP(B57,Cash_Book!B:D,2,FALSE)),"Missing","Found")</f>
        <v>Found</v>
      </c>
    </row>
    <row r="58" spans="1:8">
      <c r="A58" t="s">
        <v>68</v>
      </c>
      <c r="B58" t="s">
        <v>102</v>
      </c>
      <c r="C58" t="s">
        <v>61</v>
      </c>
      <c r="D58">
        <v>4962</v>
      </c>
      <c r="F58">
        <v>74798</v>
      </c>
      <c r="H58" t="str">
        <f>IF(ISNA(VLOOKUP(B58,Cash_Book!B:D,2,FALSE)),"Missing","Found")</f>
        <v>Found</v>
      </c>
    </row>
    <row r="59" spans="1:8">
      <c r="A59" t="s">
        <v>70</v>
      </c>
      <c r="B59" t="s">
        <v>103</v>
      </c>
      <c r="C59" t="s">
        <v>61</v>
      </c>
      <c r="D59">
        <v>846</v>
      </c>
      <c r="F59">
        <v>73952</v>
      </c>
      <c r="H59" t="str">
        <f>IF(ISNA(VLOOKUP(B59,Cash_Book!B:D,2,FALSE)),"Missing","Found")</f>
        <v>Found</v>
      </c>
    </row>
    <row r="60" spans="1:8">
      <c r="A60" t="s">
        <v>72</v>
      </c>
      <c r="B60" t="s">
        <v>104</v>
      </c>
      <c r="C60" t="s">
        <v>32</v>
      </c>
      <c r="E60">
        <v>3653</v>
      </c>
      <c r="F60">
        <v>77605</v>
      </c>
      <c r="H60" t="str">
        <f>IF(ISNA(VLOOKUP(B60,Cash_Book!B:D,2,FALSE)),"Missing","Found")</f>
        <v>Found</v>
      </c>
    </row>
    <row r="61" spans="1:8">
      <c r="A61" t="s">
        <v>74</v>
      </c>
      <c r="B61" t="s">
        <v>105</v>
      </c>
      <c r="C61" t="s">
        <v>17</v>
      </c>
      <c r="E61">
        <v>7892</v>
      </c>
      <c r="F61">
        <v>85497</v>
      </c>
      <c r="H61" t="str">
        <f>IF(ISNA(VLOOKUP(B61,Cash_Book!B:D,2,FALSE)),"Missing","Found")</f>
        <v>Found</v>
      </c>
    </row>
    <row r="62" spans="1:8">
      <c r="A62" t="s">
        <v>6</v>
      </c>
      <c r="B62" t="s">
        <v>106</v>
      </c>
      <c r="C62" t="s">
        <v>17</v>
      </c>
      <c r="E62">
        <v>9024</v>
      </c>
      <c r="F62">
        <v>94521</v>
      </c>
      <c r="H62" t="str">
        <f>IF(ISNA(VLOOKUP(B62,Cash_Book!B:D,2,FALSE)),"Missing","Found")</f>
        <v>Missing</v>
      </c>
    </row>
    <row r="63" spans="1:8">
      <c r="A63" t="s">
        <v>9</v>
      </c>
      <c r="B63" t="s">
        <v>107</v>
      </c>
      <c r="C63" t="s">
        <v>11</v>
      </c>
      <c r="E63">
        <v>9412</v>
      </c>
      <c r="F63">
        <v>103933</v>
      </c>
      <c r="H63" t="str">
        <f>IF(ISNA(VLOOKUP(B63,Cash_Book!B:D,2,FALSE)),"Missing","Found")</f>
        <v>Found</v>
      </c>
    </row>
    <row r="64" spans="1:8">
      <c r="A64" t="s">
        <v>12</v>
      </c>
      <c r="B64" t="s">
        <v>108</v>
      </c>
      <c r="C64" t="s">
        <v>32</v>
      </c>
      <c r="E64">
        <v>5557</v>
      </c>
      <c r="F64">
        <v>109490</v>
      </c>
      <c r="H64" t="str">
        <f>IF(ISNA(VLOOKUP(B64,Cash_Book!B:D,2,FALSE)),"Missing","Found")</f>
        <v>Found</v>
      </c>
    </row>
    <row r="65" spans="1:8">
      <c r="A65" t="s">
        <v>15</v>
      </c>
      <c r="B65" t="s">
        <v>109</v>
      </c>
      <c r="C65" t="s">
        <v>26</v>
      </c>
      <c r="D65">
        <v>7443</v>
      </c>
      <c r="F65">
        <v>102047</v>
      </c>
      <c r="H65" t="str">
        <f>IF(ISNA(VLOOKUP(B65,Cash_Book!B:D,2,FALSE)),"Missing","Found")</f>
        <v>Found</v>
      </c>
    </row>
    <row r="66" spans="1:8">
      <c r="A66" t="s">
        <v>18</v>
      </c>
      <c r="B66" t="s">
        <v>110</v>
      </c>
      <c r="C66" t="s">
        <v>29</v>
      </c>
      <c r="D66">
        <v>643</v>
      </c>
      <c r="F66">
        <v>101404</v>
      </c>
      <c r="H66" t="str">
        <f>IF(ISNA(VLOOKUP(B66,Cash_Book!B:D,2,FALSE)),"Missing","Found")</f>
        <v>Found</v>
      </c>
    </row>
    <row r="67" spans="1:8">
      <c r="A67" t="s">
        <v>21</v>
      </c>
      <c r="B67" t="s">
        <v>111</v>
      </c>
      <c r="C67" t="s">
        <v>23</v>
      </c>
      <c r="E67">
        <v>2139</v>
      </c>
      <c r="F67">
        <v>103543</v>
      </c>
      <c r="H67" t="str">
        <f>IF(ISNA(VLOOKUP(B67,Cash_Book!B:D,2,FALSE)),"Missing","Found")</f>
        <v>Found</v>
      </c>
    </row>
    <row r="68" spans="1:8">
      <c r="A68" t="s">
        <v>24</v>
      </c>
      <c r="B68" t="s">
        <v>112</v>
      </c>
      <c r="C68" t="s">
        <v>32</v>
      </c>
      <c r="E68">
        <v>2249</v>
      </c>
      <c r="F68">
        <v>105792</v>
      </c>
      <c r="H68" t="str">
        <f>IF(ISNA(VLOOKUP(B68,Cash_Book!B:D,2,FALSE)),"Missing","Found")</f>
        <v>Found</v>
      </c>
    </row>
    <row r="69" spans="1:8">
      <c r="A69" t="s">
        <v>27</v>
      </c>
      <c r="B69" t="s">
        <v>113</v>
      </c>
      <c r="C69" t="s">
        <v>32</v>
      </c>
      <c r="E69">
        <v>8692</v>
      </c>
      <c r="F69">
        <v>114484</v>
      </c>
      <c r="H69" t="str">
        <f>IF(ISNA(VLOOKUP(B69,Cash_Book!B:D,2,FALSE)),"Missing","Found")</f>
        <v>Found</v>
      </c>
    </row>
    <row r="70" spans="1:8">
      <c r="A70" t="s">
        <v>30</v>
      </c>
      <c r="B70" t="s">
        <v>114</v>
      </c>
      <c r="C70" t="s">
        <v>26</v>
      </c>
      <c r="D70">
        <v>2316</v>
      </c>
      <c r="F70">
        <v>112168</v>
      </c>
      <c r="H70" t="str">
        <f>IF(ISNA(VLOOKUP(B70,Cash_Book!B:D,2,FALSE)),"Missing","Found")</f>
        <v>Found</v>
      </c>
    </row>
    <row r="71" spans="1:8">
      <c r="A71" t="s">
        <v>33</v>
      </c>
      <c r="B71" t="s">
        <v>115</v>
      </c>
      <c r="C71" t="s">
        <v>14</v>
      </c>
      <c r="D71">
        <v>1884</v>
      </c>
      <c r="F71">
        <v>110284</v>
      </c>
      <c r="H71" t="str">
        <f>IF(ISNA(VLOOKUP(B71,Cash_Book!B:D,2,FALSE)),"Missing","Found")</f>
        <v>Found</v>
      </c>
    </row>
    <row r="72" spans="1:8">
      <c r="A72" t="s">
        <v>35</v>
      </c>
      <c r="B72" t="s">
        <v>116</v>
      </c>
      <c r="C72" t="s">
        <v>32</v>
      </c>
      <c r="E72">
        <v>816</v>
      </c>
      <c r="F72">
        <v>111100</v>
      </c>
      <c r="H72" t="str">
        <f>IF(ISNA(VLOOKUP(B72,Cash_Book!B:D,2,FALSE)),"Missing","Found")</f>
        <v>Found</v>
      </c>
    </row>
    <row r="73" spans="1:8">
      <c r="A73" t="s">
        <v>37</v>
      </c>
      <c r="B73" t="s">
        <v>117</v>
      </c>
      <c r="C73" t="s">
        <v>61</v>
      </c>
      <c r="D73">
        <v>4082</v>
      </c>
      <c r="F73">
        <v>107018</v>
      </c>
      <c r="H73" t="str">
        <f>IF(ISNA(VLOOKUP(B73,Cash_Book!B:D,2,FALSE)),"Missing","Found")</f>
        <v>Found</v>
      </c>
    </row>
    <row r="74" spans="1:8">
      <c r="A74" t="s">
        <v>39</v>
      </c>
      <c r="B74" t="s">
        <v>118</v>
      </c>
      <c r="C74" t="s">
        <v>23</v>
      </c>
      <c r="E74">
        <v>7808</v>
      </c>
      <c r="F74">
        <v>114826</v>
      </c>
      <c r="H74" t="str">
        <f>IF(ISNA(VLOOKUP(B74,Cash_Book!B:D,2,FALSE)),"Missing","Found")</f>
        <v>Found</v>
      </c>
    </row>
    <row r="75" spans="1:8">
      <c r="A75" t="s">
        <v>41</v>
      </c>
      <c r="B75" t="s">
        <v>119</v>
      </c>
      <c r="C75" t="s">
        <v>23</v>
      </c>
      <c r="E75">
        <v>7180</v>
      </c>
      <c r="F75">
        <v>122006</v>
      </c>
      <c r="H75" t="str">
        <f>IF(ISNA(VLOOKUP(B75,Cash_Book!B:D,2,FALSE)),"Missing","Found")</f>
        <v>Found</v>
      </c>
    </row>
    <row r="76" spans="1:8">
      <c r="A76" t="s">
        <v>43</v>
      </c>
      <c r="B76" t="s">
        <v>120</v>
      </c>
      <c r="C76" t="s">
        <v>61</v>
      </c>
      <c r="D76">
        <v>5295</v>
      </c>
      <c r="F76">
        <v>116711</v>
      </c>
      <c r="H76" t="str">
        <f>IF(ISNA(VLOOKUP(B76,Cash_Book!B:D,2,FALSE)),"Missing","Found")</f>
        <v>Found</v>
      </c>
    </row>
    <row r="77" spans="1:8">
      <c r="A77" t="s">
        <v>45</v>
      </c>
      <c r="B77" t="s">
        <v>121</v>
      </c>
      <c r="C77" t="s">
        <v>32</v>
      </c>
      <c r="E77">
        <v>5377</v>
      </c>
      <c r="F77">
        <v>122088</v>
      </c>
      <c r="H77" t="str">
        <f>IF(ISNA(VLOOKUP(B77,Cash_Book!B:D,2,FALSE)),"Missing","Found")</f>
        <v>Missing</v>
      </c>
    </row>
    <row r="78" spans="1:8">
      <c r="A78" t="s">
        <v>47</v>
      </c>
      <c r="B78" t="s">
        <v>122</v>
      </c>
      <c r="C78" t="s">
        <v>11</v>
      </c>
      <c r="E78">
        <v>8745</v>
      </c>
      <c r="F78">
        <v>130833</v>
      </c>
      <c r="H78" t="str">
        <f>IF(ISNA(VLOOKUP(B78,Cash_Book!B:D,2,FALSE)),"Missing","Found")</f>
        <v>Found</v>
      </c>
    </row>
    <row r="79" spans="1:8">
      <c r="A79" t="s">
        <v>49</v>
      </c>
      <c r="B79" t="s">
        <v>123</v>
      </c>
      <c r="C79" t="s">
        <v>26</v>
      </c>
      <c r="D79">
        <v>561</v>
      </c>
      <c r="F79">
        <v>130272</v>
      </c>
      <c r="H79" t="str">
        <f>IF(ISNA(VLOOKUP(B79,Cash_Book!B:D,2,FALSE)),"Missing","Found")</f>
        <v>Found</v>
      </c>
    </row>
    <row r="80" spans="1:8">
      <c r="A80" t="s">
        <v>51</v>
      </c>
      <c r="B80" t="s">
        <v>124</v>
      </c>
      <c r="C80" t="s">
        <v>29</v>
      </c>
      <c r="D80">
        <v>5575</v>
      </c>
      <c r="F80">
        <v>124697</v>
      </c>
      <c r="H80" t="str">
        <f>IF(ISNA(VLOOKUP(B80,Cash_Book!B:D,2,FALSE)),"Missing","Found")</f>
        <v>Found</v>
      </c>
    </row>
    <row r="81" spans="1:8">
      <c r="A81" t="s">
        <v>53</v>
      </c>
      <c r="B81" t="s">
        <v>125</v>
      </c>
      <c r="C81" t="s">
        <v>23</v>
      </c>
      <c r="E81">
        <v>918</v>
      </c>
      <c r="F81">
        <v>125615</v>
      </c>
      <c r="H81" t="str">
        <f>IF(ISNA(VLOOKUP(B81,Cash_Book!B:D,2,FALSE)),"Missing","Found")</f>
        <v>Found</v>
      </c>
    </row>
    <row r="82" spans="1:8">
      <c r="A82" t="s">
        <v>55</v>
      </c>
      <c r="B82" t="s">
        <v>126</v>
      </c>
      <c r="C82" t="s">
        <v>8</v>
      </c>
      <c r="D82">
        <v>1055</v>
      </c>
      <c r="F82">
        <v>124560</v>
      </c>
      <c r="H82" t="str">
        <f>IF(ISNA(VLOOKUP(B82,Cash_Book!B:D,2,FALSE)),"Missing","Found")</f>
        <v>Found</v>
      </c>
    </row>
    <row r="83" spans="1:8">
      <c r="A83" t="s">
        <v>57</v>
      </c>
      <c r="B83" t="s">
        <v>127</v>
      </c>
      <c r="C83" t="s">
        <v>23</v>
      </c>
      <c r="E83">
        <v>1665</v>
      </c>
      <c r="F83">
        <v>126225</v>
      </c>
      <c r="H83" t="str">
        <f>IF(ISNA(VLOOKUP(B83,Cash_Book!B:D,2,FALSE)),"Missing","Found")</f>
        <v>Found</v>
      </c>
    </row>
    <row r="84" spans="1:8">
      <c r="A84" t="s">
        <v>59</v>
      </c>
      <c r="B84" t="s">
        <v>128</v>
      </c>
      <c r="C84" t="s">
        <v>20</v>
      </c>
      <c r="E84">
        <v>9334</v>
      </c>
      <c r="F84">
        <v>135559</v>
      </c>
      <c r="H84" t="str">
        <f>IF(ISNA(VLOOKUP(B84,Cash_Book!B:D,2,FALSE)),"Missing","Found")</f>
        <v>Missing</v>
      </c>
    </row>
    <row r="85" spans="1:8">
      <c r="A85" t="s">
        <v>62</v>
      </c>
      <c r="B85" t="s">
        <v>129</v>
      </c>
      <c r="C85" t="s">
        <v>26</v>
      </c>
      <c r="D85">
        <v>3126</v>
      </c>
      <c r="F85">
        <v>132433</v>
      </c>
      <c r="H85" t="str">
        <f>IF(ISNA(VLOOKUP(B85,Cash_Book!B:D,2,FALSE)),"Missing","Found")</f>
        <v>Found</v>
      </c>
    </row>
    <row r="86" spans="1:8">
      <c r="A86" t="s">
        <v>64</v>
      </c>
      <c r="B86" t="s">
        <v>130</v>
      </c>
      <c r="C86" t="s">
        <v>61</v>
      </c>
      <c r="D86">
        <v>701</v>
      </c>
      <c r="F86">
        <v>131732</v>
      </c>
      <c r="H86" t="str">
        <f>IF(ISNA(VLOOKUP(B86,Cash_Book!B:D,2,FALSE)),"Missing","Found")</f>
        <v>Found</v>
      </c>
    </row>
    <row r="87" spans="1:8">
      <c r="A87" t="s">
        <v>66</v>
      </c>
      <c r="B87" t="s">
        <v>131</v>
      </c>
      <c r="C87" t="s">
        <v>29</v>
      </c>
      <c r="D87">
        <v>6151</v>
      </c>
      <c r="F87">
        <v>125581</v>
      </c>
      <c r="H87" t="str">
        <f>IF(ISNA(VLOOKUP(B87,Cash_Book!B:D,2,FALSE)),"Missing","Found")</f>
        <v>Found</v>
      </c>
    </row>
    <row r="88" spans="1:8">
      <c r="A88" t="s">
        <v>68</v>
      </c>
      <c r="B88" t="s">
        <v>132</v>
      </c>
      <c r="C88" t="s">
        <v>23</v>
      </c>
      <c r="E88">
        <v>4690</v>
      </c>
      <c r="F88">
        <v>130271</v>
      </c>
      <c r="H88" t="str">
        <f>IF(ISNA(VLOOKUP(B88,Cash_Book!B:D,2,FALSE)),"Missing","Found")</f>
        <v>Found</v>
      </c>
    </row>
    <row r="89" spans="1:8">
      <c r="A89" t="s">
        <v>70</v>
      </c>
      <c r="B89" t="s">
        <v>133</v>
      </c>
      <c r="C89" t="s">
        <v>14</v>
      </c>
      <c r="D89">
        <v>992</v>
      </c>
      <c r="F89">
        <v>129279</v>
      </c>
      <c r="H89" t="str">
        <f>IF(ISNA(VLOOKUP(B89,Cash_Book!B:D,2,FALSE)),"Missing","Found")</f>
        <v>Found</v>
      </c>
    </row>
    <row r="90" spans="1:8">
      <c r="A90" t="s">
        <v>72</v>
      </c>
      <c r="B90" t="s">
        <v>134</v>
      </c>
      <c r="C90" t="s">
        <v>20</v>
      </c>
      <c r="E90">
        <v>6022</v>
      </c>
      <c r="F90">
        <v>135301</v>
      </c>
      <c r="H90" t="str">
        <f>IF(ISNA(VLOOKUP(B90,Cash_Book!B:D,2,FALSE)),"Missing","Found")</f>
        <v>Found</v>
      </c>
    </row>
    <row r="91" spans="1:8">
      <c r="A91" t="s">
        <v>74</v>
      </c>
      <c r="B91" t="s">
        <v>135</v>
      </c>
      <c r="C91" t="s">
        <v>32</v>
      </c>
      <c r="E91">
        <v>5013</v>
      </c>
      <c r="F91">
        <v>140314</v>
      </c>
      <c r="H91" t="str">
        <f>IF(ISNA(VLOOKUP(B91,Cash_Book!B:D,2,FALSE)),"Missing","Found")</f>
        <v>Found</v>
      </c>
    </row>
    <row r="92" spans="1:8">
      <c r="A92" t="s">
        <v>6</v>
      </c>
      <c r="B92" t="s">
        <v>136</v>
      </c>
      <c r="C92" t="s">
        <v>23</v>
      </c>
      <c r="E92">
        <v>9274</v>
      </c>
      <c r="F92">
        <v>149588</v>
      </c>
      <c r="H92" t="str">
        <f>IF(ISNA(VLOOKUP(B92,Cash_Book!B:D,2,FALSE)),"Missing","Found")</f>
        <v>Missing</v>
      </c>
    </row>
    <row r="93" spans="1:8">
      <c r="A93" t="s">
        <v>9</v>
      </c>
      <c r="B93" t="s">
        <v>137</v>
      </c>
      <c r="C93" t="s">
        <v>17</v>
      </c>
      <c r="E93">
        <v>8977</v>
      </c>
      <c r="F93">
        <v>158565</v>
      </c>
      <c r="H93" t="str">
        <f>IF(ISNA(VLOOKUP(B93,Cash_Book!B:D,2,FALSE)),"Missing","Found")</f>
        <v>Found</v>
      </c>
    </row>
    <row r="94" spans="1:8">
      <c r="A94" t="s">
        <v>12</v>
      </c>
      <c r="B94" t="s">
        <v>138</v>
      </c>
      <c r="C94" t="s">
        <v>20</v>
      </c>
      <c r="E94">
        <v>3211</v>
      </c>
      <c r="F94">
        <v>161776</v>
      </c>
      <c r="H94" t="str">
        <f>IF(ISNA(VLOOKUP(B94,Cash_Book!B:D,2,FALSE)),"Missing","Found")</f>
        <v>Found</v>
      </c>
    </row>
    <row r="95" spans="1:8">
      <c r="A95" t="s">
        <v>15</v>
      </c>
      <c r="B95" t="s">
        <v>139</v>
      </c>
      <c r="C95" t="s">
        <v>29</v>
      </c>
      <c r="D95">
        <v>993</v>
      </c>
      <c r="F95">
        <v>160783</v>
      </c>
      <c r="H95" t="str">
        <f>IF(ISNA(VLOOKUP(B95,Cash_Book!B:D,2,FALSE)),"Missing","Found")</f>
        <v>Found</v>
      </c>
    </row>
    <row r="96" spans="1:8">
      <c r="A96" t="s">
        <v>18</v>
      </c>
      <c r="B96" t="s">
        <v>140</v>
      </c>
      <c r="C96" t="s">
        <v>61</v>
      </c>
      <c r="D96">
        <v>6193</v>
      </c>
      <c r="F96">
        <v>154590</v>
      </c>
      <c r="H96" t="str">
        <f>IF(ISNA(VLOOKUP(B96,Cash_Book!B:D,2,FALSE)),"Missing","Found")</f>
        <v>Found</v>
      </c>
    </row>
    <row r="97" spans="1:8">
      <c r="A97" t="s">
        <v>21</v>
      </c>
      <c r="B97" t="s">
        <v>141</v>
      </c>
      <c r="C97" t="s">
        <v>8</v>
      </c>
      <c r="D97">
        <v>7225</v>
      </c>
      <c r="F97">
        <v>147365</v>
      </c>
      <c r="H97" t="str">
        <f>IF(ISNA(VLOOKUP(B97,Cash_Book!B:D,2,FALSE)),"Missing","Found")</f>
        <v>Found</v>
      </c>
    </row>
    <row r="98" spans="1:8">
      <c r="A98" t="s">
        <v>24</v>
      </c>
      <c r="B98" t="s">
        <v>142</v>
      </c>
      <c r="C98" t="s">
        <v>8</v>
      </c>
      <c r="D98">
        <v>7022</v>
      </c>
      <c r="F98">
        <v>140343</v>
      </c>
      <c r="H98" t="str">
        <f>IF(ISNA(VLOOKUP(B98,Cash_Book!B:D,2,FALSE)),"Missing","Found")</f>
        <v>Found</v>
      </c>
    </row>
    <row r="99" spans="1:8">
      <c r="A99" t="s">
        <v>27</v>
      </c>
      <c r="B99" t="s">
        <v>143</v>
      </c>
      <c r="C99" t="s">
        <v>11</v>
      </c>
      <c r="E99">
        <v>3312</v>
      </c>
      <c r="F99">
        <v>143655</v>
      </c>
      <c r="H99" t="str">
        <f>IF(ISNA(VLOOKUP(B99,Cash_Book!B:D,2,FALSE)),"Missing","Found")</f>
        <v>Found</v>
      </c>
    </row>
    <row r="100" spans="1:8">
      <c r="A100" t="s">
        <v>30</v>
      </c>
      <c r="B100" t="s">
        <v>144</v>
      </c>
      <c r="C100" t="s">
        <v>32</v>
      </c>
      <c r="E100">
        <v>8306</v>
      </c>
      <c r="F100">
        <v>151961</v>
      </c>
      <c r="H100" t="str">
        <f>IF(ISNA(VLOOKUP(B100,Cash_Book!B:D,2,FALSE)),"Missing","Found")</f>
        <v>Found</v>
      </c>
    </row>
    <row r="101" spans="1:8">
      <c r="A101" t="s">
        <v>33</v>
      </c>
      <c r="B101" t="s">
        <v>145</v>
      </c>
      <c r="C101" t="s">
        <v>17</v>
      </c>
      <c r="E101">
        <v>7877</v>
      </c>
      <c r="F101">
        <v>159838</v>
      </c>
      <c r="H101" t="str">
        <f>IF(ISNA(VLOOKUP(B101,Cash_Book!B:D,2,FALSE)),"Missing","Found")</f>
        <v>Found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858D-9885-45D8-9E10-BADE740A5318}">
  <dimension ref="A3:C14"/>
  <sheetViews>
    <sheetView workbookViewId="0">
      <selection activeCell="K20" sqref="K20"/>
    </sheetView>
  </sheetViews>
  <sheetFormatPr defaultRowHeight="14.4"/>
  <cols>
    <col min="1" max="1" width="17.21875" bestFit="1" customWidth="1"/>
    <col min="2" max="2" width="11.88671875" bestFit="1" customWidth="1"/>
    <col min="3" max="3" width="12.44140625" bestFit="1" customWidth="1"/>
  </cols>
  <sheetData>
    <row r="3" spans="1:3">
      <c r="A3" s="2" t="s">
        <v>158</v>
      </c>
      <c r="B3" t="s">
        <v>160</v>
      </c>
      <c r="C3" t="s">
        <v>161</v>
      </c>
    </row>
    <row r="4" spans="1:3">
      <c r="A4" s="3" t="s">
        <v>26</v>
      </c>
      <c r="B4">
        <v>34982</v>
      </c>
    </row>
    <row r="5" spans="1:3">
      <c r="A5" s="3" t="s">
        <v>29</v>
      </c>
      <c r="B5">
        <v>40386</v>
      </c>
    </row>
    <row r="6" spans="1:3">
      <c r="A6" s="3" t="s">
        <v>61</v>
      </c>
      <c r="B6">
        <v>31886</v>
      </c>
    </row>
    <row r="7" spans="1:3">
      <c r="A7" s="3" t="s">
        <v>11</v>
      </c>
      <c r="C7">
        <v>45490</v>
      </c>
    </row>
    <row r="8" spans="1:3">
      <c r="A8" s="3" t="s">
        <v>14</v>
      </c>
      <c r="B8">
        <v>29824</v>
      </c>
    </row>
    <row r="9" spans="1:3">
      <c r="A9" s="3" t="s">
        <v>17</v>
      </c>
      <c r="C9">
        <v>46729</v>
      </c>
    </row>
    <row r="10" spans="1:3">
      <c r="A10" s="3" t="s">
        <v>32</v>
      </c>
      <c r="C10">
        <v>61940</v>
      </c>
    </row>
    <row r="11" spans="1:3">
      <c r="A11" s="3" t="s">
        <v>20</v>
      </c>
      <c r="C11">
        <v>63612</v>
      </c>
    </row>
    <row r="12" spans="1:3">
      <c r="A12" s="3" t="s">
        <v>23</v>
      </c>
      <c r="C12">
        <v>33422</v>
      </c>
    </row>
    <row r="13" spans="1:3">
      <c r="A13" s="3" t="s">
        <v>8</v>
      </c>
      <c r="B13">
        <v>34415</v>
      </c>
    </row>
    <row r="14" spans="1:3">
      <c r="A14" s="3" t="s">
        <v>159</v>
      </c>
      <c r="B14">
        <v>171493</v>
      </c>
      <c r="C14">
        <v>251193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63F8-21D6-4E92-B1D6-89456914BBF0}">
  <dimension ref="A1:B7"/>
  <sheetViews>
    <sheetView workbookViewId="0">
      <selection activeCell="G11" sqref="G11"/>
    </sheetView>
  </sheetViews>
  <sheetFormatPr defaultRowHeight="14.4"/>
  <cols>
    <col min="1" max="1" width="15.6640625" customWidth="1"/>
    <col min="2" max="2" width="14.5546875" customWidth="1"/>
  </cols>
  <sheetData>
    <row r="1" spans="1:2">
      <c r="A1" s="4" t="s">
        <v>164</v>
      </c>
      <c r="B1" s="4" t="s">
        <v>171</v>
      </c>
    </row>
    <row r="2" spans="1:2" ht="28.8">
      <c r="A2" s="5" t="s">
        <v>165</v>
      </c>
      <c r="B2" s="6">
        <f>COUNTA(Cash_Book!B:B)-1</f>
        <v>93</v>
      </c>
    </row>
    <row r="3" spans="1:2" ht="28.8">
      <c r="A3" s="5" t="s">
        <v>166</v>
      </c>
      <c r="B3" s="6">
        <f>COUNTIF(Bank_Statement!H:H,"Missing")</f>
        <v>8</v>
      </c>
    </row>
    <row r="4" spans="1:2" ht="28.8">
      <c r="A4" s="5" t="s">
        <v>167</v>
      </c>
      <c r="B4" s="6">
        <f>COUNTIF(Cash_Book!G:G,"Mismatch")</f>
        <v>5</v>
      </c>
    </row>
    <row r="5" spans="1:2" ht="28.8">
      <c r="A5" s="5" t="s">
        <v>168</v>
      </c>
      <c r="B5" s="6">
        <f>COUNTIF(Cash_Book!I:I,"&gt;1")</f>
        <v>2</v>
      </c>
    </row>
    <row r="6" spans="1:2">
      <c r="A6" s="5" t="s">
        <v>169</v>
      </c>
      <c r="B6" s="6">
        <f>SUM(Cash_Book!D:D)</f>
        <v>171493</v>
      </c>
    </row>
    <row r="7" spans="1:2">
      <c r="A7" s="5" t="s">
        <v>170</v>
      </c>
      <c r="B7" s="6">
        <f>SUM(Cash_Book!E:E)</f>
        <v>251193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"/>
  <sheetViews>
    <sheetView workbookViewId="0">
      <selection activeCell="K3" sqref="K3"/>
    </sheetView>
  </sheetViews>
  <sheetFormatPr defaultRowHeight="14.4"/>
  <cols>
    <col min="1" max="1" width="13" customWidth="1"/>
    <col min="2" max="2" width="12.6640625" customWidth="1"/>
    <col min="3" max="3" width="17.33203125" customWidth="1"/>
    <col min="7" max="7" width="14.88671875" customWidth="1"/>
    <col min="8" max="8" width="19.33203125" customWidth="1"/>
    <col min="9" max="9" width="15.77734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157</v>
      </c>
      <c r="H1" t="s">
        <v>162</v>
      </c>
      <c r="I1" t="s">
        <v>163</v>
      </c>
    </row>
    <row r="2" spans="1:9">
      <c r="A2" t="s">
        <v>9</v>
      </c>
      <c r="B2" t="s">
        <v>10</v>
      </c>
      <c r="C2" t="s">
        <v>11</v>
      </c>
      <c r="E2">
        <v>9769</v>
      </c>
      <c r="F2">
        <v>55816</v>
      </c>
      <c r="G2" t="str">
        <f>IF(OR(D2&lt;&gt;VLOOKUP(B2,Bank_Statement!B:F,3,FALSE),E2&lt;&gt;VLOOKUP(B2,Bank_Statement!B:F,4,FALSE)),"Mismatch","Match")</f>
        <v>Match</v>
      </c>
      <c r="H2">
        <f>_xlfn.XLOOKUP(B2,Bank_Statement!B2:B101,Bank_Statement!F2:F101,"Not Found")</f>
        <v>55816</v>
      </c>
      <c r="I2">
        <f>COUNTIF(B:B,B2)</f>
        <v>1</v>
      </c>
    </row>
    <row r="3" spans="1:9">
      <c r="A3" t="s">
        <v>12</v>
      </c>
      <c r="B3" t="s">
        <v>13</v>
      </c>
      <c r="C3" t="s">
        <v>14</v>
      </c>
      <c r="D3">
        <v>4142</v>
      </c>
      <c r="F3">
        <v>51674</v>
      </c>
      <c r="G3" t="str">
        <f>IF(OR(D3&lt;&gt;VLOOKUP(B3,Bank_Statement!B:F,3,FALSE),E3&lt;&gt;VLOOKUP(B3,Bank_Statement!B:F,4,FALSE)),"Mismatch","Match")</f>
        <v>Match</v>
      </c>
      <c r="H3">
        <f>_xlfn.XLOOKUP(B3,Bank_Statement!B3:B102,Bank_Statement!F3:F102,"Not Found")</f>
        <v>51674</v>
      </c>
      <c r="I3">
        <f t="shared" ref="I3:I66" si="0">COUNTIF(B:B,B3)</f>
        <v>1</v>
      </c>
    </row>
    <row r="4" spans="1:9">
      <c r="A4" t="s">
        <v>15</v>
      </c>
      <c r="B4" t="s">
        <v>16</v>
      </c>
      <c r="C4" t="s">
        <v>17</v>
      </c>
      <c r="E4">
        <v>4282</v>
      </c>
      <c r="F4">
        <v>55956</v>
      </c>
      <c r="G4" t="str">
        <f>IF(OR(D4&lt;&gt;VLOOKUP(B4,Bank_Statement!B:F,3,FALSE),E4&lt;&gt;VLOOKUP(B4,Bank_Statement!B:F,4,FALSE)),"Mismatch","Match")</f>
        <v>Match</v>
      </c>
      <c r="H4">
        <f>_xlfn.XLOOKUP(B4,Bank_Statement!B4:B103,Bank_Statement!F4:F103,"Not Found")</f>
        <v>55956</v>
      </c>
      <c r="I4">
        <f t="shared" si="0"/>
        <v>1</v>
      </c>
    </row>
    <row r="5" spans="1:9">
      <c r="A5" t="s">
        <v>18</v>
      </c>
      <c r="B5" t="s">
        <v>19</v>
      </c>
      <c r="C5" t="s">
        <v>20</v>
      </c>
      <c r="E5">
        <v>8715</v>
      </c>
      <c r="F5">
        <v>64671</v>
      </c>
      <c r="G5" t="str">
        <f>IF(OR(D5&lt;&gt;VLOOKUP(B5,Bank_Statement!B:F,3,FALSE),E5&lt;&gt;VLOOKUP(B5,Bank_Statement!B:F,4,FALSE)),"Mismatch","Match")</f>
        <v>Match</v>
      </c>
      <c r="H5">
        <f>_xlfn.XLOOKUP(B5,Bank_Statement!B5:B104,Bank_Statement!F5:F104,"Not Found")</f>
        <v>64671</v>
      </c>
      <c r="I5">
        <f t="shared" si="0"/>
        <v>1</v>
      </c>
    </row>
    <row r="6" spans="1:9">
      <c r="A6" t="s">
        <v>21</v>
      </c>
      <c r="B6" t="s">
        <v>22</v>
      </c>
      <c r="C6" t="s">
        <v>23</v>
      </c>
      <c r="E6">
        <v>7433</v>
      </c>
      <c r="F6">
        <v>72104</v>
      </c>
      <c r="G6" t="str">
        <f>IF(OR(D6&lt;&gt;VLOOKUP(B6,Bank_Statement!B:F,3,FALSE),E6&lt;&gt;VLOOKUP(B6,Bank_Statement!B:F,4,FALSE)),"Mismatch","Match")</f>
        <v>Match</v>
      </c>
      <c r="H6">
        <f>_xlfn.XLOOKUP(B6,Bank_Statement!B6:B105,Bank_Statement!F6:F105,"Not Found")</f>
        <v>72104</v>
      </c>
      <c r="I6">
        <f t="shared" si="0"/>
        <v>1</v>
      </c>
    </row>
    <row r="7" spans="1:9">
      <c r="A7" t="s">
        <v>24</v>
      </c>
      <c r="B7" t="s">
        <v>25</v>
      </c>
      <c r="C7" t="s">
        <v>26</v>
      </c>
      <c r="D7">
        <v>4347</v>
      </c>
      <c r="F7">
        <v>67757</v>
      </c>
      <c r="G7" t="str">
        <f>IF(OR(D7&lt;&gt;VLOOKUP(B7,Bank_Statement!B:F,3,FALSE),E7&lt;&gt;VLOOKUP(B7,Bank_Statement!B:F,4,FALSE)),"Mismatch","Match")</f>
        <v>Match</v>
      </c>
      <c r="H7">
        <f>_xlfn.XLOOKUP(B7,Bank_Statement!B7:B106,Bank_Statement!F7:F106,"Not Found")</f>
        <v>67757</v>
      </c>
      <c r="I7">
        <f t="shared" si="0"/>
        <v>1</v>
      </c>
    </row>
    <row r="8" spans="1:9">
      <c r="A8" t="s">
        <v>27</v>
      </c>
      <c r="B8" t="s">
        <v>28</v>
      </c>
      <c r="C8" t="s">
        <v>29</v>
      </c>
      <c r="D8">
        <v>4463</v>
      </c>
      <c r="F8">
        <v>63294</v>
      </c>
      <c r="G8" t="str">
        <f>IF(OR(D8&lt;&gt;VLOOKUP(B8,Bank_Statement!B:F,3,FALSE),E8&lt;&gt;VLOOKUP(B8,Bank_Statement!B:F,4,FALSE)),"Mismatch","Match")</f>
        <v>Match</v>
      </c>
      <c r="H8">
        <f>_xlfn.XLOOKUP(B8,Bank_Statement!B8:B107,Bank_Statement!F8:F107,"Not Found")</f>
        <v>63294</v>
      </c>
      <c r="I8">
        <f t="shared" si="0"/>
        <v>1</v>
      </c>
    </row>
    <row r="9" spans="1:9">
      <c r="A9" t="s">
        <v>30</v>
      </c>
      <c r="B9" t="s">
        <v>31</v>
      </c>
      <c r="C9" t="s">
        <v>32</v>
      </c>
      <c r="E9">
        <v>7717</v>
      </c>
      <c r="F9">
        <v>71011</v>
      </c>
      <c r="G9" t="str">
        <f>IF(OR(D9&lt;&gt;VLOOKUP(B9,Bank_Statement!B:F,3,FALSE),E9&lt;&gt;VLOOKUP(B9,Bank_Statement!B:F,4,FALSE)),"Mismatch","Match")</f>
        <v>Match</v>
      </c>
      <c r="H9">
        <f>_xlfn.XLOOKUP(B9,Bank_Statement!B9:B108,Bank_Statement!F9:F108,"Not Found")</f>
        <v>71011</v>
      </c>
      <c r="I9">
        <f t="shared" si="0"/>
        <v>1</v>
      </c>
    </row>
    <row r="10" spans="1:9">
      <c r="A10" t="s">
        <v>33</v>
      </c>
      <c r="B10" t="s">
        <v>34</v>
      </c>
      <c r="C10" t="s">
        <v>32</v>
      </c>
      <c r="E10">
        <v>4562</v>
      </c>
      <c r="F10">
        <v>75573</v>
      </c>
      <c r="G10" t="str">
        <f>IF(OR(D10&lt;&gt;VLOOKUP(B10,Bank_Statement!B:F,3,FALSE),E10&lt;&gt;VLOOKUP(B10,Bank_Statement!B:F,4,FALSE)),"Mismatch","Match")</f>
        <v>Match</v>
      </c>
      <c r="H10">
        <f>_xlfn.XLOOKUP(B10,Bank_Statement!B10:B109,Bank_Statement!F10:F109,"Not Found")</f>
        <v>75573</v>
      </c>
      <c r="I10">
        <f t="shared" si="0"/>
        <v>1</v>
      </c>
    </row>
    <row r="11" spans="1:9">
      <c r="A11" t="s">
        <v>35</v>
      </c>
      <c r="B11" t="s">
        <v>36</v>
      </c>
      <c r="C11" t="s">
        <v>20</v>
      </c>
      <c r="E11">
        <v>3826</v>
      </c>
      <c r="F11">
        <v>79399</v>
      </c>
      <c r="G11" t="str">
        <f>IF(OR(D11&lt;&gt;VLOOKUP(B11,Bank_Statement!B:F,3,FALSE),E11&lt;&gt;VLOOKUP(B11,Bank_Statement!B:F,4,FALSE)),"Mismatch","Match")</f>
        <v>Match</v>
      </c>
      <c r="H11">
        <f>_xlfn.XLOOKUP(B11,Bank_Statement!B11:B110,Bank_Statement!F11:F110,"Not Found")</f>
        <v>79399</v>
      </c>
      <c r="I11">
        <f t="shared" si="0"/>
        <v>1</v>
      </c>
    </row>
    <row r="12" spans="1:9">
      <c r="A12" t="s">
        <v>37</v>
      </c>
      <c r="B12" t="s">
        <v>38</v>
      </c>
      <c r="C12" t="s">
        <v>14</v>
      </c>
      <c r="D12">
        <v>6010</v>
      </c>
      <c r="F12">
        <v>73389</v>
      </c>
      <c r="G12" t="str">
        <f>IF(OR(D12&lt;&gt;VLOOKUP(B12,Bank_Statement!B:F,3,FALSE),E12&lt;&gt;VLOOKUP(B12,Bank_Statement!B:F,4,FALSE)),"Mismatch","Match")</f>
        <v>Match</v>
      </c>
      <c r="H12">
        <f>_xlfn.XLOOKUP(B12,Bank_Statement!B12:B111,Bank_Statement!F12:F111,"Not Found")</f>
        <v>73389</v>
      </c>
      <c r="I12">
        <f t="shared" si="0"/>
        <v>1</v>
      </c>
    </row>
    <row r="13" spans="1:9">
      <c r="A13" t="s">
        <v>39</v>
      </c>
      <c r="B13" t="s">
        <v>40</v>
      </c>
      <c r="C13" t="s">
        <v>32</v>
      </c>
      <c r="E13">
        <v>1679</v>
      </c>
      <c r="F13">
        <v>75068</v>
      </c>
      <c r="G13" t="str">
        <f>IF(OR(D13&lt;&gt;VLOOKUP(B13,Bank_Statement!B:F,3,FALSE),E13&lt;&gt;VLOOKUP(B13,Bank_Statement!B:F,4,FALSE)),"Mismatch","Match")</f>
        <v>Match</v>
      </c>
      <c r="H13">
        <f>_xlfn.XLOOKUP(B13,Bank_Statement!B13:B112,Bank_Statement!F13:F112,"Not Found")</f>
        <v>75068</v>
      </c>
      <c r="I13">
        <f t="shared" si="0"/>
        <v>1</v>
      </c>
    </row>
    <row r="14" spans="1:9">
      <c r="A14" t="s">
        <v>41</v>
      </c>
      <c r="B14" t="s">
        <v>42</v>
      </c>
      <c r="C14" t="s">
        <v>29</v>
      </c>
      <c r="D14">
        <v>738</v>
      </c>
      <c r="F14">
        <v>74330</v>
      </c>
      <c r="G14" t="str">
        <f>IF(OR(D14&lt;&gt;VLOOKUP(B14,Bank_Statement!B:F,3,FALSE),E14&lt;&gt;VLOOKUP(B14,Bank_Statement!B:F,4,FALSE)),"Mismatch","Match")</f>
        <v>Match</v>
      </c>
      <c r="H14">
        <f>_xlfn.XLOOKUP(B14,Bank_Statement!B14:B113,Bank_Statement!F14:F113,"Not Found")</f>
        <v>74330</v>
      </c>
      <c r="I14">
        <f t="shared" si="0"/>
        <v>1</v>
      </c>
    </row>
    <row r="15" spans="1:9">
      <c r="A15" t="s">
        <v>43</v>
      </c>
      <c r="B15" t="s">
        <v>44</v>
      </c>
      <c r="C15" t="s">
        <v>29</v>
      </c>
      <c r="D15">
        <v>726</v>
      </c>
      <c r="F15">
        <v>73604</v>
      </c>
      <c r="G15" t="str">
        <f>IF(OR(D15&lt;&gt;VLOOKUP(B15,Bank_Statement!B:F,3,FALSE),E15&lt;&gt;VLOOKUP(B15,Bank_Statement!B:F,4,FALSE)),"Mismatch","Match")</f>
        <v>Match</v>
      </c>
      <c r="H15">
        <f>_xlfn.XLOOKUP(B15,Bank_Statement!B15:B114,Bank_Statement!F15:F114,"Not Found")</f>
        <v>73604</v>
      </c>
      <c r="I15">
        <f t="shared" si="0"/>
        <v>1</v>
      </c>
    </row>
    <row r="16" spans="1:9">
      <c r="A16" t="s">
        <v>47</v>
      </c>
      <c r="B16" t="s">
        <v>48</v>
      </c>
      <c r="C16" t="s">
        <v>26</v>
      </c>
      <c r="D16">
        <v>327</v>
      </c>
      <c r="F16">
        <v>77538</v>
      </c>
      <c r="G16" t="str">
        <f>IF(OR(D16&lt;&gt;VLOOKUP(B16,Bank_Statement!B:F,3,FALSE),E16&lt;&gt;VLOOKUP(B16,Bank_Statement!B:F,4,FALSE)),"Mismatch","Match")</f>
        <v>Match</v>
      </c>
      <c r="H16">
        <f>_xlfn.XLOOKUP(B16,Bank_Statement!B16:B115,Bank_Statement!F16:F115,"Not Found")</f>
        <v>77538</v>
      </c>
      <c r="I16">
        <f t="shared" si="0"/>
        <v>1</v>
      </c>
    </row>
    <row r="17" spans="1:9">
      <c r="A17" t="s">
        <v>49</v>
      </c>
      <c r="B17" t="s">
        <v>50</v>
      </c>
      <c r="C17" t="s">
        <v>20</v>
      </c>
      <c r="E17">
        <v>9248</v>
      </c>
      <c r="F17">
        <v>86786</v>
      </c>
      <c r="G17" t="str">
        <f>IF(OR(D17&lt;&gt;VLOOKUP(B17,Bank_Statement!B:F,3,FALSE),E17&lt;&gt;VLOOKUP(B17,Bank_Statement!B:F,4,FALSE)),"Mismatch","Match")</f>
        <v>Match</v>
      </c>
      <c r="H17">
        <f>_xlfn.XLOOKUP(B17,Bank_Statement!B17:B116,Bank_Statement!F17:F116,"Not Found")</f>
        <v>86786</v>
      </c>
      <c r="I17">
        <f t="shared" si="0"/>
        <v>1</v>
      </c>
    </row>
    <row r="18" spans="1:9">
      <c r="A18" t="s">
        <v>51</v>
      </c>
      <c r="B18" t="s">
        <v>52</v>
      </c>
      <c r="C18" t="s">
        <v>32</v>
      </c>
      <c r="E18">
        <v>1725</v>
      </c>
      <c r="F18">
        <v>88536</v>
      </c>
      <c r="G18" t="str">
        <f>IF(OR(D18&lt;&gt;VLOOKUP(B18,Bank_Statement!B:F,3,FALSE),E18&lt;&gt;VLOOKUP(B18,Bank_Statement!B:F,4,FALSE)),"Mismatch","Match")</f>
        <v>Mismatch</v>
      </c>
      <c r="H18">
        <f>_xlfn.XLOOKUP(B18,Bank_Statement!B18:B117,Bank_Statement!F18:F117,"Not Found")</f>
        <v>88536</v>
      </c>
      <c r="I18">
        <f t="shared" si="0"/>
        <v>1</v>
      </c>
    </row>
    <row r="19" spans="1:9">
      <c r="A19" t="s">
        <v>53</v>
      </c>
      <c r="B19" t="s">
        <v>54</v>
      </c>
      <c r="C19" t="s">
        <v>17</v>
      </c>
      <c r="E19">
        <v>4600</v>
      </c>
      <c r="F19">
        <v>93136</v>
      </c>
      <c r="G19" t="str">
        <f>IF(OR(D19&lt;&gt;VLOOKUP(B19,Bank_Statement!B:F,3,FALSE),E19&lt;&gt;VLOOKUP(B19,Bank_Statement!B:F,4,FALSE)),"Mismatch","Match")</f>
        <v>Match</v>
      </c>
      <c r="H19">
        <f>_xlfn.XLOOKUP(B19,Bank_Statement!B19:B118,Bank_Statement!F19:F118,"Not Found")</f>
        <v>93136</v>
      </c>
      <c r="I19">
        <f t="shared" si="0"/>
        <v>1</v>
      </c>
    </row>
    <row r="20" spans="1:9">
      <c r="A20" t="s">
        <v>55</v>
      </c>
      <c r="B20" t="s">
        <v>56</v>
      </c>
      <c r="C20" t="s">
        <v>11</v>
      </c>
      <c r="E20">
        <v>4978</v>
      </c>
      <c r="F20">
        <v>98114</v>
      </c>
      <c r="G20" t="str">
        <f>IF(OR(D20&lt;&gt;VLOOKUP(B20,Bank_Statement!B:F,3,FALSE),E20&lt;&gt;VLOOKUP(B20,Bank_Statement!B:F,4,FALSE)),"Mismatch","Match")</f>
        <v>Match</v>
      </c>
      <c r="H20">
        <f>_xlfn.XLOOKUP(B20,Bank_Statement!B20:B119,Bank_Statement!F20:F119,"Not Found")</f>
        <v>98114</v>
      </c>
      <c r="I20">
        <f t="shared" si="0"/>
        <v>1</v>
      </c>
    </row>
    <row r="21" spans="1:9">
      <c r="A21" t="s">
        <v>57</v>
      </c>
      <c r="B21" t="s">
        <v>58</v>
      </c>
      <c r="C21" t="s">
        <v>14</v>
      </c>
      <c r="D21">
        <v>5630</v>
      </c>
      <c r="F21">
        <v>92484</v>
      </c>
      <c r="G21" t="str">
        <f>IF(OR(D21&lt;&gt;VLOOKUP(B21,Bank_Statement!B:F,3,FALSE),E21&lt;&gt;VLOOKUP(B21,Bank_Statement!B:F,4,FALSE)),"Mismatch","Match")</f>
        <v>Match</v>
      </c>
      <c r="H21">
        <f>_xlfn.XLOOKUP(B21,Bank_Statement!B21:B120,Bank_Statement!F21:F120,"Not Found")</f>
        <v>92484</v>
      </c>
      <c r="I21">
        <f t="shared" si="0"/>
        <v>1</v>
      </c>
    </row>
    <row r="22" spans="1:9">
      <c r="A22" t="s">
        <v>59</v>
      </c>
      <c r="B22" t="s">
        <v>60</v>
      </c>
      <c r="C22" t="s">
        <v>61</v>
      </c>
      <c r="D22">
        <v>3885</v>
      </c>
      <c r="F22">
        <v>88599</v>
      </c>
      <c r="G22" t="str">
        <f>IF(OR(D22&lt;&gt;VLOOKUP(B22,Bank_Statement!B:F,3,FALSE),E22&lt;&gt;VLOOKUP(B22,Bank_Statement!B:F,4,FALSE)),"Mismatch","Match")</f>
        <v>Match</v>
      </c>
      <c r="H22">
        <f>_xlfn.XLOOKUP(B22,Bank_Statement!B22:B121,Bank_Statement!F22:F121,"Not Found")</f>
        <v>88599</v>
      </c>
      <c r="I22">
        <f t="shared" si="0"/>
        <v>1</v>
      </c>
    </row>
    <row r="23" spans="1:9">
      <c r="A23" t="s">
        <v>62</v>
      </c>
      <c r="B23" t="s">
        <v>63</v>
      </c>
      <c r="C23" t="s">
        <v>29</v>
      </c>
      <c r="D23">
        <v>4845</v>
      </c>
      <c r="F23">
        <v>83754</v>
      </c>
      <c r="G23" t="str">
        <f>IF(OR(D23&lt;&gt;VLOOKUP(B23,Bank_Statement!B:F,3,FALSE),E23&lt;&gt;VLOOKUP(B23,Bank_Statement!B:F,4,FALSE)),"Mismatch","Match")</f>
        <v>Match</v>
      </c>
      <c r="H23">
        <f>_xlfn.XLOOKUP(B23,Bank_Statement!B23:B122,Bank_Statement!F23:F122,"Not Found")</f>
        <v>83754</v>
      </c>
      <c r="I23">
        <f t="shared" si="0"/>
        <v>1</v>
      </c>
    </row>
    <row r="24" spans="1:9">
      <c r="A24" t="s">
        <v>64</v>
      </c>
      <c r="B24" t="s">
        <v>65</v>
      </c>
      <c r="C24" t="s">
        <v>32</v>
      </c>
      <c r="E24">
        <v>5343</v>
      </c>
      <c r="F24">
        <v>89097</v>
      </c>
      <c r="G24" t="str">
        <f>IF(OR(D24&lt;&gt;VLOOKUP(B24,Bank_Statement!B:F,3,FALSE),E24&lt;&gt;VLOOKUP(B24,Bank_Statement!B:F,4,FALSE)),"Mismatch","Match")</f>
        <v>Match</v>
      </c>
      <c r="H24">
        <f>_xlfn.XLOOKUP(B24,Bank_Statement!B24:B123,Bank_Statement!F24:F123,"Not Found")</f>
        <v>89097</v>
      </c>
      <c r="I24">
        <f t="shared" si="0"/>
        <v>1</v>
      </c>
    </row>
    <row r="25" spans="1:9">
      <c r="A25" t="s">
        <v>66</v>
      </c>
      <c r="B25" t="s">
        <v>67</v>
      </c>
      <c r="C25" t="s">
        <v>26</v>
      </c>
      <c r="D25">
        <v>5245</v>
      </c>
      <c r="F25">
        <v>83852</v>
      </c>
      <c r="G25" t="str">
        <f>IF(OR(D25&lt;&gt;VLOOKUP(B25,Bank_Statement!B:F,3,FALSE),E25&lt;&gt;VLOOKUP(B25,Bank_Statement!B:F,4,FALSE)),"Mismatch","Match")</f>
        <v>Match</v>
      </c>
      <c r="H25">
        <f>_xlfn.XLOOKUP(B25,Bank_Statement!B25:B124,Bank_Statement!F25:F124,"Not Found")</f>
        <v>83852</v>
      </c>
      <c r="I25">
        <f t="shared" si="0"/>
        <v>1</v>
      </c>
    </row>
    <row r="26" spans="1:9">
      <c r="A26" t="s">
        <v>68</v>
      </c>
      <c r="B26" t="s">
        <v>69</v>
      </c>
      <c r="C26" t="s">
        <v>20</v>
      </c>
      <c r="E26">
        <v>1936</v>
      </c>
      <c r="F26">
        <v>85788</v>
      </c>
      <c r="G26" t="str">
        <f>IF(OR(D26&lt;&gt;VLOOKUP(B26,Bank_Statement!B:F,3,FALSE),E26&lt;&gt;VLOOKUP(B26,Bank_Statement!B:F,4,FALSE)),"Mismatch","Match")</f>
        <v>Match</v>
      </c>
      <c r="H26">
        <f>_xlfn.XLOOKUP(B26,Bank_Statement!B26:B125,Bank_Statement!F26:F125,"Not Found")</f>
        <v>85788</v>
      </c>
      <c r="I26">
        <f t="shared" si="0"/>
        <v>1</v>
      </c>
    </row>
    <row r="27" spans="1:9">
      <c r="A27" t="s">
        <v>70</v>
      </c>
      <c r="B27" t="s">
        <v>71</v>
      </c>
      <c r="C27" t="s">
        <v>20</v>
      </c>
      <c r="E27">
        <v>8843</v>
      </c>
      <c r="F27">
        <v>94631</v>
      </c>
      <c r="G27" t="str">
        <f>IF(OR(D27&lt;&gt;VLOOKUP(B27,Bank_Statement!B:F,3,FALSE),E27&lt;&gt;VLOOKUP(B27,Bank_Statement!B:F,4,FALSE)),"Mismatch","Match")</f>
        <v>Match</v>
      </c>
      <c r="H27">
        <f>_xlfn.XLOOKUP(B27,Bank_Statement!B27:B126,Bank_Statement!F27:F126,"Not Found")</f>
        <v>94631</v>
      </c>
      <c r="I27">
        <f t="shared" si="0"/>
        <v>1</v>
      </c>
    </row>
    <row r="28" spans="1:9">
      <c r="A28" t="s">
        <v>72</v>
      </c>
      <c r="B28" t="s">
        <v>73</v>
      </c>
      <c r="C28" t="s">
        <v>8</v>
      </c>
      <c r="D28">
        <v>4804</v>
      </c>
      <c r="F28">
        <v>89827</v>
      </c>
      <c r="G28" t="str">
        <f>IF(OR(D28&lt;&gt;VLOOKUP(B28,Bank_Statement!B:F,3,FALSE),E28&lt;&gt;VLOOKUP(B28,Bank_Statement!B:F,4,FALSE)),"Mismatch","Match")</f>
        <v>Match</v>
      </c>
      <c r="H28">
        <f>_xlfn.XLOOKUP(B28,Bank_Statement!B28:B127,Bank_Statement!F28:F127,"Not Found")</f>
        <v>89827</v>
      </c>
      <c r="I28">
        <f t="shared" si="0"/>
        <v>1</v>
      </c>
    </row>
    <row r="29" spans="1:9">
      <c r="A29" t="s">
        <v>74</v>
      </c>
      <c r="B29" t="s">
        <v>75</v>
      </c>
      <c r="C29" t="s">
        <v>23</v>
      </c>
      <c r="E29">
        <v>570</v>
      </c>
      <c r="F29">
        <v>90397</v>
      </c>
      <c r="G29" t="str">
        <f>IF(OR(D29&lt;&gt;VLOOKUP(B29,Bank_Statement!B:F,3,FALSE),E29&lt;&gt;VLOOKUP(B29,Bank_Statement!B:F,4,FALSE)),"Mismatch","Match")</f>
        <v>Match</v>
      </c>
      <c r="H29">
        <f>_xlfn.XLOOKUP(B29,Bank_Statement!B29:B128,Bank_Statement!F29:F128,"Not Found")</f>
        <v>90397</v>
      </c>
      <c r="I29">
        <f t="shared" si="0"/>
        <v>1</v>
      </c>
    </row>
    <row r="30" spans="1:9">
      <c r="A30" t="s">
        <v>9</v>
      </c>
      <c r="B30" t="s">
        <v>77</v>
      </c>
      <c r="C30" t="s">
        <v>26</v>
      </c>
      <c r="D30">
        <v>4087</v>
      </c>
      <c r="F30">
        <v>94246</v>
      </c>
      <c r="G30" t="str">
        <f>IF(OR(D30&lt;&gt;VLOOKUP(B30,Bank_Statement!B:F,3,FALSE),E30&lt;&gt;VLOOKUP(B30,Bank_Statement!B:F,4,FALSE)),"Mismatch","Match")</f>
        <v>Match</v>
      </c>
      <c r="H30">
        <f>_xlfn.XLOOKUP(B30,Bank_Statement!B30:B129,Bank_Statement!F30:F129,"Not Found")</f>
        <v>94246</v>
      </c>
      <c r="I30">
        <f t="shared" si="0"/>
        <v>1</v>
      </c>
    </row>
    <row r="31" spans="1:9">
      <c r="A31" t="s">
        <v>12</v>
      </c>
      <c r="B31" t="s">
        <v>78</v>
      </c>
      <c r="C31" t="s">
        <v>17</v>
      </c>
      <c r="E31">
        <v>5948</v>
      </c>
      <c r="F31">
        <v>100194</v>
      </c>
      <c r="G31" t="str">
        <f>IF(OR(D31&lt;&gt;VLOOKUP(B31,Bank_Statement!B:F,3,FALSE),E31&lt;&gt;VLOOKUP(B31,Bank_Statement!B:F,4,FALSE)),"Mismatch","Match")</f>
        <v>Match</v>
      </c>
      <c r="H31">
        <f>_xlfn.XLOOKUP(B31,Bank_Statement!B31:B130,Bank_Statement!F31:F130,"Not Found")</f>
        <v>100194</v>
      </c>
      <c r="I31">
        <f t="shared" si="0"/>
        <v>1</v>
      </c>
    </row>
    <row r="32" spans="1:9">
      <c r="A32" t="s">
        <v>15</v>
      </c>
      <c r="B32" t="s">
        <v>79</v>
      </c>
      <c r="C32" t="s">
        <v>32</v>
      </c>
      <c r="E32">
        <v>1423</v>
      </c>
      <c r="F32">
        <v>101617</v>
      </c>
      <c r="G32" t="str">
        <f>IF(OR(D32&lt;&gt;VLOOKUP(B32,Bank_Statement!B:F,3,FALSE),E32&lt;&gt;VLOOKUP(B32,Bank_Statement!B:F,4,FALSE)),"Mismatch","Match")</f>
        <v>Match</v>
      </c>
      <c r="H32">
        <f>_xlfn.XLOOKUP(B32,Bank_Statement!B32:B131,Bank_Statement!F32:F131,"Not Found")</f>
        <v>101617</v>
      </c>
      <c r="I32">
        <f t="shared" si="0"/>
        <v>1</v>
      </c>
    </row>
    <row r="33" spans="1:9">
      <c r="A33" t="s">
        <v>18</v>
      </c>
      <c r="B33" t="s">
        <v>80</v>
      </c>
      <c r="C33" t="s">
        <v>20</v>
      </c>
      <c r="E33">
        <v>1766</v>
      </c>
      <c r="F33">
        <v>103383</v>
      </c>
      <c r="G33" t="str">
        <f>IF(OR(D33&lt;&gt;VLOOKUP(B33,Bank_Statement!B:F,3,FALSE),E33&lt;&gt;VLOOKUP(B33,Bank_Statement!B:F,4,FALSE)),"Mismatch","Match")</f>
        <v>Match</v>
      </c>
      <c r="H33">
        <f>_xlfn.XLOOKUP(B33,Bank_Statement!B33:B132,Bank_Statement!F33:F132,"Not Found")</f>
        <v>103383</v>
      </c>
      <c r="I33">
        <f t="shared" si="0"/>
        <v>1</v>
      </c>
    </row>
    <row r="34" spans="1:9">
      <c r="A34" t="s">
        <v>21</v>
      </c>
      <c r="B34" t="s">
        <v>81</v>
      </c>
      <c r="C34" t="s">
        <v>14</v>
      </c>
      <c r="D34">
        <v>7757</v>
      </c>
      <c r="F34">
        <v>95626</v>
      </c>
      <c r="G34" t="str">
        <f>IF(OR(D34&lt;&gt;VLOOKUP(B34,Bank_Statement!B:F,3,FALSE),E34&lt;&gt;VLOOKUP(B34,Bank_Statement!B:F,4,FALSE)),"Mismatch","Match")</f>
        <v>Match</v>
      </c>
      <c r="H34">
        <f>_xlfn.XLOOKUP(B34,Bank_Statement!B34:B133,Bank_Statement!F34:F133,"Not Found")</f>
        <v>95626</v>
      </c>
      <c r="I34">
        <f t="shared" si="0"/>
        <v>1</v>
      </c>
    </row>
    <row r="35" spans="1:9">
      <c r="A35" t="s">
        <v>24</v>
      </c>
      <c r="B35" t="s">
        <v>82</v>
      </c>
      <c r="C35" t="s">
        <v>29</v>
      </c>
      <c r="D35">
        <v>3449</v>
      </c>
      <c r="F35">
        <v>92177</v>
      </c>
      <c r="G35" t="str">
        <f>IF(OR(D35&lt;&gt;VLOOKUP(B35,Bank_Statement!B:F,3,FALSE),E35&lt;&gt;VLOOKUP(B35,Bank_Statement!B:F,4,FALSE)),"Mismatch","Match")</f>
        <v>Match</v>
      </c>
      <c r="H35">
        <f>_xlfn.XLOOKUP(B35,Bank_Statement!B35:B134,Bank_Statement!F35:F134,"Not Found")</f>
        <v>92177</v>
      </c>
      <c r="I35">
        <f t="shared" si="0"/>
        <v>1</v>
      </c>
    </row>
    <row r="36" spans="1:9">
      <c r="A36" t="s">
        <v>27</v>
      </c>
      <c r="B36" t="s">
        <v>83</v>
      </c>
      <c r="C36" t="s">
        <v>61</v>
      </c>
      <c r="D36">
        <v>2936</v>
      </c>
      <c r="F36">
        <v>89241</v>
      </c>
      <c r="G36" t="str">
        <f>IF(OR(D36&lt;&gt;VLOOKUP(B36,Bank_Statement!B:F,3,FALSE),E36&lt;&gt;VLOOKUP(B36,Bank_Statement!B:F,4,FALSE)),"Mismatch","Match")</f>
        <v>Match</v>
      </c>
      <c r="H36">
        <f>_xlfn.XLOOKUP(B36,Bank_Statement!B36:B135,Bank_Statement!F36:F135,"Not Found")</f>
        <v>89241</v>
      </c>
      <c r="I36">
        <f t="shared" si="0"/>
        <v>1</v>
      </c>
    </row>
    <row r="37" spans="1:9">
      <c r="A37" t="s">
        <v>30</v>
      </c>
      <c r="B37" t="s">
        <v>84</v>
      </c>
      <c r="C37" t="s">
        <v>26</v>
      </c>
      <c r="D37">
        <v>7530</v>
      </c>
      <c r="F37">
        <v>81711</v>
      </c>
      <c r="G37" t="str">
        <f>IF(OR(D37&lt;&gt;VLOOKUP(B37,Bank_Statement!B:F,3,FALSE),E37&lt;&gt;VLOOKUP(B37,Bank_Statement!B:F,4,FALSE)),"Mismatch","Match")</f>
        <v>Match</v>
      </c>
      <c r="H37">
        <f>_xlfn.XLOOKUP(B37,Bank_Statement!B37:B136,Bank_Statement!F37:F136,"Not Found")</f>
        <v>81711</v>
      </c>
      <c r="I37">
        <f t="shared" si="0"/>
        <v>1</v>
      </c>
    </row>
    <row r="38" spans="1:9">
      <c r="A38" t="s">
        <v>33</v>
      </c>
      <c r="B38" t="s">
        <v>85</v>
      </c>
      <c r="C38" t="s">
        <v>20</v>
      </c>
      <c r="E38">
        <v>6404</v>
      </c>
      <c r="F38">
        <v>88115</v>
      </c>
      <c r="G38" t="str">
        <f>IF(OR(D38&lt;&gt;VLOOKUP(B38,Bank_Statement!B:F,3,FALSE),E38&lt;&gt;VLOOKUP(B38,Bank_Statement!B:F,4,FALSE)),"Mismatch","Match")</f>
        <v>Match</v>
      </c>
      <c r="H38">
        <f>_xlfn.XLOOKUP(B38,Bank_Statement!B38:B137,Bank_Statement!F38:F137,"Not Found")</f>
        <v>88115</v>
      </c>
      <c r="I38">
        <f t="shared" si="0"/>
        <v>1</v>
      </c>
    </row>
    <row r="39" spans="1:9">
      <c r="A39" t="s">
        <v>35</v>
      </c>
      <c r="B39" t="s">
        <v>86</v>
      </c>
      <c r="C39" t="s">
        <v>8</v>
      </c>
      <c r="D39">
        <v>4195</v>
      </c>
      <c r="F39">
        <v>83970</v>
      </c>
      <c r="G39" t="str">
        <f>IF(OR(D39&lt;&gt;VLOOKUP(B39,Bank_Statement!B:F,3,FALSE),E39&lt;&gt;VLOOKUP(B39,Bank_Statement!B:F,4,FALSE)),"Mismatch","Match")</f>
        <v>Mismatch</v>
      </c>
      <c r="H39">
        <f>_xlfn.XLOOKUP(B39,Bank_Statement!B39:B138,Bank_Statement!F39:F138,"Not Found")</f>
        <v>83970</v>
      </c>
      <c r="I39">
        <f t="shared" si="0"/>
        <v>1</v>
      </c>
    </row>
    <row r="40" spans="1:9">
      <c r="A40" t="s">
        <v>37</v>
      </c>
      <c r="B40" t="s">
        <v>87</v>
      </c>
      <c r="C40" t="s">
        <v>11</v>
      </c>
      <c r="E40">
        <v>9274</v>
      </c>
      <c r="F40">
        <v>93244</v>
      </c>
      <c r="G40" t="str">
        <f>IF(OR(D40&lt;&gt;VLOOKUP(B40,Bank_Statement!B:F,3,FALSE),E40&lt;&gt;VLOOKUP(B40,Bank_Statement!B:F,4,FALSE)),"Mismatch","Match")</f>
        <v>Match</v>
      </c>
      <c r="H40">
        <f>_xlfn.XLOOKUP(B40,Bank_Statement!B40:B139,Bank_Statement!F40:F139,"Not Found")</f>
        <v>93244</v>
      </c>
      <c r="I40">
        <f t="shared" si="0"/>
        <v>1</v>
      </c>
    </row>
    <row r="41" spans="1:9">
      <c r="A41" t="s">
        <v>39</v>
      </c>
      <c r="B41" t="s">
        <v>88</v>
      </c>
      <c r="C41" t="s">
        <v>29</v>
      </c>
      <c r="D41">
        <v>684</v>
      </c>
      <c r="F41">
        <v>92560</v>
      </c>
      <c r="G41" t="str">
        <f>IF(OR(D41&lt;&gt;VLOOKUP(B41,Bank_Statement!B:F,3,FALSE),E41&lt;&gt;VLOOKUP(B41,Bank_Statement!B:F,4,FALSE)),"Mismatch","Match")</f>
        <v>Match</v>
      </c>
      <c r="H41">
        <f>_xlfn.XLOOKUP(B41,Bank_Statement!B41:B140,Bank_Statement!F41:F140,"Not Found")</f>
        <v>92560</v>
      </c>
      <c r="I41">
        <f t="shared" si="0"/>
        <v>1</v>
      </c>
    </row>
    <row r="42" spans="1:9">
      <c r="A42" t="s">
        <v>41</v>
      </c>
      <c r="B42" t="s">
        <v>89</v>
      </c>
      <c r="C42" t="s">
        <v>20</v>
      </c>
      <c r="E42">
        <v>4307</v>
      </c>
      <c r="F42">
        <v>96867</v>
      </c>
      <c r="G42" t="str">
        <f>IF(OR(D42&lt;&gt;VLOOKUP(B42,Bank_Statement!B:F,3,FALSE),E42&lt;&gt;VLOOKUP(B42,Bank_Statement!B:F,4,FALSE)),"Mismatch","Match")</f>
        <v>Match</v>
      </c>
      <c r="H42">
        <f>_xlfn.XLOOKUP(B42,Bank_Statement!B42:B141,Bank_Statement!F42:F141,"Not Found")</f>
        <v>96867</v>
      </c>
      <c r="I42">
        <f t="shared" si="0"/>
        <v>1</v>
      </c>
    </row>
    <row r="43" spans="1:9">
      <c r="A43" t="s">
        <v>43</v>
      </c>
      <c r="B43" t="s">
        <v>90</v>
      </c>
      <c r="C43" t="s">
        <v>32</v>
      </c>
      <c r="E43">
        <v>2549</v>
      </c>
      <c r="F43">
        <v>99416</v>
      </c>
      <c r="G43" t="str">
        <f>IF(OR(D43&lt;&gt;VLOOKUP(B43,Bank_Statement!B:F,3,FALSE),E43&lt;&gt;VLOOKUP(B43,Bank_Statement!B:F,4,FALSE)),"Mismatch","Match")</f>
        <v>Match</v>
      </c>
      <c r="H43">
        <f>_xlfn.XLOOKUP(B43,Bank_Statement!B43:B142,Bank_Statement!F43:F142,"Not Found")</f>
        <v>99416</v>
      </c>
      <c r="I43">
        <f t="shared" si="0"/>
        <v>1</v>
      </c>
    </row>
    <row r="44" spans="1:9">
      <c r="A44" t="s">
        <v>47</v>
      </c>
      <c r="B44" t="s">
        <v>92</v>
      </c>
      <c r="C44" t="s">
        <v>29</v>
      </c>
      <c r="D44">
        <v>4296</v>
      </c>
      <c r="F44">
        <v>93189</v>
      </c>
      <c r="G44" t="str">
        <f>IF(OR(D44&lt;&gt;VLOOKUP(B44,Bank_Statement!B:F,3,FALSE),E44&lt;&gt;VLOOKUP(B44,Bank_Statement!B:F,4,FALSE)),"Mismatch","Match")</f>
        <v>Match</v>
      </c>
      <c r="H44">
        <f>_xlfn.XLOOKUP(B44,Bank_Statement!B44:B143,Bank_Statement!F44:F143,"Not Found")</f>
        <v>93189</v>
      </c>
      <c r="I44">
        <f t="shared" si="0"/>
        <v>1</v>
      </c>
    </row>
    <row r="45" spans="1:9">
      <c r="A45" t="s">
        <v>49</v>
      </c>
      <c r="B45" t="s">
        <v>93</v>
      </c>
      <c r="C45" t="s">
        <v>61</v>
      </c>
      <c r="D45">
        <v>2986</v>
      </c>
      <c r="F45">
        <v>90203</v>
      </c>
      <c r="G45" t="str">
        <f>IF(OR(D45&lt;&gt;VLOOKUP(B45,Bank_Statement!B:F,3,FALSE),E45&lt;&gt;VLOOKUP(B45,Bank_Statement!B:F,4,FALSE)),"Mismatch","Match")</f>
        <v>Match</v>
      </c>
      <c r="H45">
        <f>_xlfn.XLOOKUP(B45,Bank_Statement!B45:B144,Bank_Statement!F45:F144,"Not Found")</f>
        <v>90203</v>
      </c>
      <c r="I45">
        <f t="shared" si="0"/>
        <v>1</v>
      </c>
    </row>
    <row r="46" spans="1:9">
      <c r="A46" t="s">
        <v>51</v>
      </c>
      <c r="B46" t="s">
        <v>94</v>
      </c>
      <c r="C46" t="s">
        <v>17</v>
      </c>
      <c r="E46">
        <v>7153</v>
      </c>
      <c r="F46">
        <v>97356</v>
      </c>
      <c r="G46" t="str">
        <f>IF(OR(D46&lt;&gt;VLOOKUP(B46,Bank_Statement!B:F,3,FALSE),E46&lt;&gt;VLOOKUP(B46,Bank_Statement!B:F,4,FALSE)),"Mismatch","Match")</f>
        <v>Match</v>
      </c>
      <c r="H46">
        <f>_xlfn.XLOOKUP(B46,Bank_Statement!B46:B145,Bank_Statement!F46:F145,"Not Found")</f>
        <v>97356</v>
      </c>
      <c r="I46">
        <f t="shared" si="0"/>
        <v>1</v>
      </c>
    </row>
    <row r="47" spans="1:9">
      <c r="A47" t="s">
        <v>53</v>
      </c>
      <c r="B47" t="s">
        <v>95</v>
      </c>
      <c r="C47" t="s">
        <v>32</v>
      </c>
      <c r="E47">
        <v>2656</v>
      </c>
      <c r="F47">
        <v>100012</v>
      </c>
      <c r="G47" t="str">
        <f>IF(OR(D47&lt;&gt;VLOOKUP(B47,Bank_Statement!B:F,3,FALSE),E47&lt;&gt;VLOOKUP(B47,Bank_Statement!B:F,4,FALSE)),"Mismatch","Match")</f>
        <v>Match</v>
      </c>
      <c r="H47">
        <f>_xlfn.XLOOKUP(B47,Bank_Statement!B47:B146,Bank_Statement!F47:F146,"Not Found")</f>
        <v>100012</v>
      </c>
      <c r="I47">
        <f t="shared" si="0"/>
        <v>1</v>
      </c>
    </row>
    <row r="48" spans="1:9">
      <c r="A48" t="s">
        <v>55</v>
      </c>
      <c r="B48" t="s">
        <v>96</v>
      </c>
      <c r="C48" t="s">
        <v>29</v>
      </c>
      <c r="D48">
        <v>7823</v>
      </c>
      <c r="F48">
        <v>92189</v>
      </c>
      <c r="G48" t="str">
        <f>IF(OR(D48&lt;&gt;VLOOKUP(B48,Bank_Statement!B:F,3,FALSE),E48&lt;&gt;VLOOKUP(B48,Bank_Statement!B:F,4,FALSE)),"Mismatch","Match")</f>
        <v>Match</v>
      </c>
      <c r="H48">
        <f>_xlfn.XLOOKUP(B48,Bank_Statement!B48:B147,Bank_Statement!F48:F147,"Not Found")</f>
        <v>92189</v>
      </c>
      <c r="I48">
        <f t="shared" si="0"/>
        <v>1</v>
      </c>
    </row>
    <row r="49" spans="1:9">
      <c r="A49" t="s">
        <v>57</v>
      </c>
      <c r="B49" t="s">
        <v>97</v>
      </c>
      <c r="C49" t="s">
        <v>23</v>
      </c>
      <c r="E49">
        <v>1044</v>
      </c>
      <c r="F49">
        <v>93233</v>
      </c>
      <c r="G49" t="str">
        <f>IF(OR(D49&lt;&gt;VLOOKUP(B49,Bank_Statement!B:F,3,FALSE),E49&lt;&gt;VLOOKUP(B49,Bank_Statement!B:F,4,FALSE)),"Mismatch","Match")</f>
        <v>Match</v>
      </c>
      <c r="H49">
        <f>_xlfn.XLOOKUP(B49,Bank_Statement!B49:B148,Bank_Statement!F49:F148,"Not Found")</f>
        <v>93233</v>
      </c>
      <c r="I49">
        <f t="shared" si="0"/>
        <v>1</v>
      </c>
    </row>
    <row r="50" spans="1:9">
      <c r="A50" t="s">
        <v>59</v>
      </c>
      <c r="B50" t="s">
        <v>98</v>
      </c>
      <c r="C50" t="s">
        <v>8</v>
      </c>
      <c r="D50">
        <v>4878</v>
      </c>
      <c r="F50">
        <v>88355</v>
      </c>
      <c r="G50" t="str">
        <f>IF(OR(D50&lt;&gt;VLOOKUP(B50,Bank_Statement!B:F,3,FALSE),E50&lt;&gt;VLOOKUP(B50,Bank_Statement!B:F,4,FALSE)),"Mismatch","Match")</f>
        <v>Match</v>
      </c>
      <c r="H50">
        <f>_xlfn.XLOOKUP(B50,Bank_Statement!B50:B149,Bank_Statement!F50:F149,"Not Found")</f>
        <v>88355</v>
      </c>
      <c r="I50">
        <f t="shared" si="0"/>
        <v>1</v>
      </c>
    </row>
    <row r="51" spans="1:9">
      <c r="A51" t="s">
        <v>62</v>
      </c>
      <c r="B51" t="s">
        <v>99</v>
      </c>
      <c r="C51" t="s">
        <v>8</v>
      </c>
      <c r="D51">
        <v>2999</v>
      </c>
      <c r="F51">
        <v>85356</v>
      </c>
      <c r="G51" t="str">
        <f>IF(OR(D51&lt;&gt;VLOOKUP(B51,Bank_Statement!B:F,3,FALSE),E51&lt;&gt;VLOOKUP(B51,Bank_Statement!B:F,4,FALSE)),"Mismatch","Match")</f>
        <v>Match</v>
      </c>
      <c r="H51">
        <f>_xlfn.XLOOKUP(B51,Bank_Statement!B51:B150,Bank_Statement!F51:F150,"Not Found")</f>
        <v>85356</v>
      </c>
      <c r="I51">
        <f t="shared" si="0"/>
        <v>1</v>
      </c>
    </row>
    <row r="52" spans="1:9">
      <c r="A52" t="s">
        <v>64</v>
      </c>
      <c r="B52" t="s">
        <v>100</v>
      </c>
      <c r="C52" t="s">
        <v>14</v>
      </c>
      <c r="D52">
        <v>3409</v>
      </c>
      <c r="F52">
        <v>81947</v>
      </c>
      <c r="G52" t="str">
        <f>IF(OR(D52&lt;&gt;VLOOKUP(B52,Bank_Statement!B:F,3,FALSE),E52&lt;&gt;VLOOKUP(B52,Bank_Statement!B:F,4,FALSE)),"Mismatch","Match")</f>
        <v>Match</v>
      </c>
      <c r="H52">
        <f>_xlfn.XLOOKUP(B52,Bank_Statement!B52:B151,Bank_Statement!F52:F151,"Not Found")</f>
        <v>81947</v>
      </c>
      <c r="I52">
        <f t="shared" si="0"/>
        <v>1</v>
      </c>
    </row>
    <row r="53" spans="1:9">
      <c r="A53" t="s">
        <v>66</v>
      </c>
      <c r="B53" t="s">
        <v>101</v>
      </c>
      <c r="C53" t="s">
        <v>8</v>
      </c>
      <c r="D53">
        <v>2187</v>
      </c>
      <c r="F53">
        <v>79760</v>
      </c>
      <c r="G53" t="str">
        <f>IF(OR(D53&lt;&gt;VLOOKUP(B53,Bank_Statement!B:F,3,FALSE),E53&lt;&gt;VLOOKUP(B53,Bank_Statement!B:F,4,FALSE)),"Mismatch","Match")</f>
        <v>Match</v>
      </c>
      <c r="H53">
        <f>_xlfn.XLOOKUP(B53,Bank_Statement!B53:B152,Bank_Statement!F53:F152,"Not Found")</f>
        <v>79760</v>
      </c>
      <c r="I53">
        <f t="shared" si="0"/>
        <v>1</v>
      </c>
    </row>
    <row r="54" spans="1:9">
      <c r="A54" t="s">
        <v>68</v>
      </c>
      <c r="B54" t="s">
        <v>102</v>
      </c>
      <c r="C54" t="s">
        <v>61</v>
      </c>
      <c r="D54">
        <v>4962</v>
      </c>
      <c r="F54">
        <v>74798</v>
      </c>
      <c r="G54" t="str">
        <f>IF(OR(D54&lt;&gt;VLOOKUP(B54,Bank_Statement!B:F,3,FALSE),E54&lt;&gt;VLOOKUP(B54,Bank_Statement!B:F,4,FALSE)),"Mismatch","Match")</f>
        <v>Match</v>
      </c>
      <c r="H54">
        <f>_xlfn.XLOOKUP(B54,Bank_Statement!B54:B153,Bank_Statement!F54:F153,"Not Found")</f>
        <v>74798</v>
      </c>
      <c r="I54">
        <f t="shared" si="0"/>
        <v>1</v>
      </c>
    </row>
    <row r="55" spans="1:9">
      <c r="A55" t="s">
        <v>70</v>
      </c>
      <c r="B55" t="s">
        <v>103</v>
      </c>
      <c r="C55" t="s">
        <v>61</v>
      </c>
      <c r="D55">
        <v>846</v>
      </c>
      <c r="F55">
        <v>73952</v>
      </c>
      <c r="G55" t="str">
        <f>IF(OR(D55&lt;&gt;VLOOKUP(B55,Bank_Statement!B:F,3,FALSE),E55&lt;&gt;VLOOKUP(B55,Bank_Statement!B:F,4,FALSE)),"Mismatch","Match")</f>
        <v>Match</v>
      </c>
      <c r="H55">
        <f>_xlfn.XLOOKUP(B55,Bank_Statement!B55:B154,Bank_Statement!F55:F154,"Not Found")</f>
        <v>73952</v>
      </c>
      <c r="I55">
        <f t="shared" si="0"/>
        <v>1</v>
      </c>
    </row>
    <row r="56" spans="1:9">
      <c r="A56" t="s">
        <v>72</v>
      </c>
      <c r="B56" t="s">
        <v>104</v>
      </c>
      <c r="C56" t="s">
        <v>32</v>
      </c>
      <c r="E56">
        <v>3653</v>
      </c>
      <c r="F56">
        <v>77605</v>
      </c>
      <c r="G56" t="str">
        <f>IF(OR(D56&lt;&gt;VLOOKUP(B56,Bank_Statement!B:F,3,FALSE),E56&lt;&gt;VLOOKUP(B56,Bank_Statement!B:F,4,FALSE)),"Mismatch","Match")</f>
        <v>Match</v>
      </c>
      <c r="H56">
        <f>_xlfn.XLOOKUP(B56,Bank_Statement!B56:B155,Bank_Statement!F56:F155,"Not Found")</f>
        <v>77605</v>
      </c>
      <c r="I56">
        <f t="shared" si="0"/>
        <v>1</v>
      </c>
    </row>
    <row r="57" spans="1:9">
      <c r="A57" t="s">
        <v>74</v>
      </c>
      <c r="B57" t="s">
        <v>105</v>
      </c>
      <c r="C57" t="s">
        <v>17</v>
      </c>
      <c r="E57">
        <v>7892</v>
      </c>
      <c r="F57">
        <v>85497</v>
      </c>
      <c r="G57" t="str">
        <f>IF(OR(D57&lt;&gt;VLOOKUP(B57,Bank_Statement!B:F,3,FALSE),E57&lt;&gt;VLOOKUP(B57,Bank_Statement!B:F,4,FALSE)),"Mismatch","Match")</f>
        <v>Match</v>
      </c>
      <c r="H57">
        <f>_xlfn.XLOOKUP(B57,Bank_Statement!B57:B156,Bank_Statement!F57:F156,"Not Found")</f>
        <v>85497</v>
      </c>
      <c r="I57">
        <f t="shared" si="0"/>
        <v>1</v>
      </c>
    </row>
    <row r="58" spans="1:9">
      <c r="A58" t="s">
        <v>9</v>
      </c>
      <c r="B58" t="s">
        <v>107</v>
      </c>
      <c r="C58" t="s">
        <v>11</v>
      </c>
      <c r="E58">
        <v>9412</v>
      </c>
      <c r="F58">
        <v>103933</v>
      </c>
      <c r="G58" t="str">
        <f>IF(OR(D58&lt;&gt;VLOOKUP(B58,Bank_Statement!B:F,3,FALSE),E58&lt;&gt;VLOOKUP(B58,Bank_Statement!B:F,4,FALSE)),"Mismatch","Match")</f>
        <v>Match</v>
      </c>
      <c r="H58">
        <f>_xlfn.XLOOKUP(B58,Bank_Statement!B58:B157,Bank_Statement!F58:F157,"Not Found")</f>
        <v>103933</v>
      </c>
      <c r="I58">
        <f t="shared" si="0"/>
        <v>1</v>
      </c>
    </row>
    <row r="59" spans="1:9">
      <c r="A59" t="s">
        <v>12</v>
      </c>
      <c r="B59" t="s">
        <v>108</v>
      </c>
      <c r="C59" t="s">
        <v>32</v>
      </c>
      <c r="E59">
        <v>5557</v>
      </c>
      <c r="F59">
        <v>109490</v>
      </c>
      <c r="G59" t="str">
        <f>IF(OR(D59&lt;&gt;VLOOKUP(B59,Bank_Statement!B:F,3,FALSE),E59&lt;&gt;VLOOKUP(B59,Bank_Statement!B:F,4,FALSE)),"Mismatch","Match")</f>
        <v>Match</v>
      </c>
      <c r="H59">
        <f>_xlfn.XLOOKUP(B59,Bank_Statement!B59:B158,Bank_Statement!F59:F158,"Not Found")</f>
        <v>109490</v>
      </c>
      <c r="I59">
        <f t="shared" si="0"/>
        <v>1</v>
      </c>
    </row>
    <row r="60" spans="1:9">
      <c r="A60" t="s">
        <v>15</v>
      </c>
      <c r="B60" t="s">
        <v>109</v>
      </c>
      <c r="C60" t="s">
        <v>26</v>
      </c>
      <c r="D60">
        <v>7443</v>
      </c>
      <c r="F60">
        <v>102047</v>
      </c>
      <c r="G60" t="str">
        <f>IF(OR(D60&lt;&gt;VLOOKUP(B60,Bank_Statement!B:F,3,FALSE),E60&lt;&gt;VLOOKUP(B60,Bank_Statement!B:F,4,FALSE)),"Mismatch","Match")</f>
        <v>Match</v>
      </c>
      <c r="H60">
        <f>_xlfn.XLOOKUP(B60,Bank_Statement!B60:B159,Bank_Statement!F60:F159,"Not Found")</f>
        <v>102047</v>
      </c>
      <c r="I60">
        <f t="shared" si="0"/>
        <v>1</v>
      </c>
    </row>
    <row r="61" spans="1:9">
      <c r="A61" t="s">
        <v>18</v>
      </c>
      <c r="B61" t="s">
        <v>110</v>
      </c>
      <c r="C61" t="s">
        <v>29</v>
      </c>
      <c r="D61">
        <v>643</v>
      </c>
      <c r="F61">
        <v>101404</v>
      </c>
      <c r="G61" t="str">
        <f>IF(OR(D61&lt;&gt;VLOOKUP(B61,Bank_Statement!B:F,3,FALSE),E61&lt;&gt;VLOOKUP(B61,Bank_Statement!B:F,4,FALSE)),"Mismatch","Match")</f>
        <v>Match</v>
      </c>
      <c r="H61">
        <f>_xlfn.XLOOKUP(B61,Bank_Statement!B61:B160,Bank_Statement!F61:F160,"Not Found")</f>
        <v>101404</v>
      </c>
      <c r="I61">
        <f t="shared" si="0"/>
        <v>1</v>
      </c>
    </row>
    <row r="62" spans="1:9">
      <c r="A62" t="s">
        <v>21</v>
      </c>
      <c r="B62" t="s">
        <v>111</v>
      </c>
      <c r="C62" t="s">
        <v>23</v>
      </c>
      <c r="E62">
        <v>2139</v>
      </c>
      <c r="F62">
        <v>103543</v>
      </c>
      <c r="G62" t="str">
        <f>IF(OR(D62&lt;&gt;VLOOKUP(B62,Bank_Statement!B:F,3,FALSE),E62&lt;&gt;VLOOKUP(B62,Bank_Statement!B:F,4,FALSE)),"Mismatch","Match")</f>
        <v>Match</v>
      </c>
      <c r="H62">
        <f>_xlfn.XLOOKUP(B62,Bank_Statement!B62:B161,Bank_Statement!F62:F161,"Not Found")</f>
        <v>103543</v>
      </c>
      <c r="I62">
        <f t="shared" si="0"/>
        <v>1</v>
      </c>
    </row>
    <row r="63" spans="1:9">
      <c r="A63" t="s">
        <v>24</v>
      </c>
      <c r="B63" t="s">
        <v>112</v>
      </c>
      <c r="C63" t="s">
        <v>32</v>
      </c>
      <c r="E63">
        <v>2249</v>
      </c>
      <c r="F63">
        <v>105792</v>
      </c>
      <c r="G63" t="str">
        <f>IF(OR(D63&lt;&gt;VLOOKUP(B63,Bank_Statement!B:F,3,FALSE),E63&lt;&gt;VLOOKUP(B63,Bank_Statement!B:F,4,FALSE)),"Mismatch","Match")</f>
        <v>Match</v>
      </c>
      <c r="H63">
        <f>_xlfn.XLOOKUP(B63,Bank_Statement!B63:B162,Bank_Statement!F63:F162,"Not Found")</f>
        <v>105792</v>
      </c>
      <c r="I63">
        <f t="shared" si="0"/>
        <v>1</v>
      </c>
    </row>
    <row r="64" spans="1:9">
      <c r="A64" t="s">
        <v>27</v>
      </c>
      <c r="B64" t="s">
        <v>113</v>
      </c>
      <c r="C64" t="s">
        <v>32</v>
      </c>
      <c r="E64">
        <v>8692</v>
      </c>
      <c r="F64">
        <v>114484</v>
      </c>
      <c r="G64" t="str">
        <f>IF(OR(D64&lt;&gt;VLOOKUP(B64,Bank_Statement!B:F,3,FALSE),E64&lt;&gt;VLOOKUP(B64,Bank_Statement!B:F,4,FALSE)),"Mismatch","Match")</f>
        <v>Match</v>
      </c>
      <c r="H64">
        <f>_xlfn.XLOOKUP(B64,Bank_Statement!B64:B163,Bank_Statement!F64:F163,"Not Found")</f>
        <v>114484</v>
      </c>
      <c r="I64">
        <f t="shared" si="0"/>
        <v>1</v>
      </c>
    </row>
    <row r="65" spans="1:9">
      <c r="A65" t="s">
        <v>30</v>
      </c>
      <c r="B65" t="s">
        <v>114</v>
      </c>
      <c r="C65" t="s">
        <v>26</v>
      </c>
      <c r="D65">
        <v>2316</v>
      </c>
      <c r="F65">
        <v>112168</v>
      </c>
      <c r="G65" t="str">
        <f>IF(OR(D65&lt;&gt;VLOOKUP(B65,Bank_Statement!B:F,3,FALSE),E65&lt;&gt;VLOOKUP(B65,Bank_Statement!B:F,4,FALSE)),"Mismatch","Match")</f>
        <v>Match</v>
      </c>
      <c r="H65">
        <f>_xlfn.XLOOKUP(B65,Bank_Statement!B65:B164,Bank_Statement!F65:F164,"Not Found")</f>
        <v>112168</v>
      </c>
      <c r="I65">
        <f t="shared" si="0"/>
        <v>1</v>
      </c>
    </row>
    <row r="66" spans="1:9">
      <c r="A66" t="s">
        <v>33</v>
      </c>
      <c r="B66" t="s">
        <v>115</v>
      </c>
      <c r="C66" t="s">
        <v>14</v>
      </c>
      <c r="D66">
        <v>1884</v>
      </c>
      <c r="F66">
        <v>110284</v>
      </c>
      <c r="G66" t="str">
        <f>IF(OR(D66&lt;&gt;VLOOKUP(B66,Bank_Statement!B:F,3,FALSE),E66&lt;&gt;VLOOKUP(B66,Bank_Statement!B:F,4,FALSE)),"Mismatch","Match")</f>
        <v>Match</v>
      </c>
      <c r="H66">
        <f>_xlfn.XLOOKUP(B66,Bank_Statement!B66:B165,Bank_Statement!F66:F165,"Not Found")</f>
        <v>110284</v>
      </c>
      <c r="I66">
        <f t="shared" si="0"/>
        <v>1</v>
      </c>
    </row>
    <row r="67" spans="1:9">
      <c r="A67" t="s">
        <v>35</v>
      </c>
      <c r="B67" t="s">
        <v>116</v>
      </c>
      <c r="C67" t="s">
        <v>32</v>
      </c>
      <c r="E67">
        <v>816</v>
      </c>
      <c r="F67">
        <v>111100</v>
      </c>
      <c r="G67" t="str">
        <f>IF(OR(D67&lt;&gt;VLOOKUP(B67,Bank_Statement!B:F,3,FALSE),E67&lt;&gt;VLOOKUP(B67,Bank_Statement!B:F,4,FALSE)),"Mismatch","Match")</f>
        <v>Match</v>
      </c>
      <c r="H67">
        <f>_xlfn.XLOOKUP(B67,Bank_Statement!B67:B166,Bank_Statement!F67:F166,"Not Found")</f>
        <v>111100</v>
      </c>
      <c r="I67">
        <f t="shared" ref="I67:I94" si="1">COUNTIF(B:B,B67)</f>
        <v>1</v>
      </c>
    </row>
    <row r="68" spans="1:9">
      <c r="A68" t="s">
        <v>37</v>
      </c>
      <c r="B68" t="s">
        <v>117</v>
      </c>
      <c r="C68" t="s">
        <v>61</v>
      </c>
      <c r="D68">
        <v>4082</v>
      </c>
      <c r="F68">
        <v>107018</v>
      </c>
      <c r="G68" t="str">
        <f>IF(OR(D68&lt;&gt;VLOOKUP(B68,Bank_Statement!B:F,3,FALSE),E68&lt;&gt;VLOOKUP(B68,Bank_Statement!B:F,4,FALSE)),"Mismatch","Match")</f>
        <v>Match</v>
      </c>
      <c r="H68">
        <f>_xlfn.XLOOKUP(B68,Bank_Statement!B68:B167,Bank_Statement!F68:F167,"Not Found")</f>
        <v>107018</v>
      </c>
      <c r="I68">
        <f t="shared" si="1"/>
        <v>1</v>
      </c>
    </row>
    <row r="69" spans="1:9">
      <c r="A69" t="s">
        <v>39</v>
      </c>
      <c r="B69" t="s">
        <v>118</v>
      </c>
      <c r="C69" t="s">
        <v>23</v>
      </c>
      <c r="E69">
        <v>7783</v>
      </c>
      <c r="F69">
        <v>114826</v>
      </c>
      <c r="G69" t="str">
        <f>IF(OR(D69&lt;&gt;VLOOKUP(B69,Bank_Statement!B:F,3,FALSE),E69&lt;&gt;VLOOKUP(B69,Bank_Statement!B:F,4,FALSE)),"Mismatch","Match")</f>
        <v>Mismatch</v>
      </c>
      <c r="H69">
        <f>_xlfn.XLOOKUP(B69,Bank_Statement!B69:B168,Bank_Statement!F69:F168,"Not Found")</f>
        <v>114826</v>
      </c>
      <c r="I69">
        <f t="shared" si="1"/>
        <v>2</v>
      </c>
    </row>
    <row r="70" spans="1:9">
      <c r="A70" t="s">
        <v>41</v>
      </c>
      <c r="B70" t="s">
        <v>119</v>
      </c>
      <c r="C70" t="s">
        <v>23</v>
      </c>
      <c r="E70">
        <v>7180</v>
      </c>
      <c r="F70">
        <v>122006</v>
      </c>
      <c r="G70" t="str">
        <f>IF(OR(D70&lt;&gt;VLOOKUP(B70,Bank_Statement!B:F,3,FALSE),E70&lt;&gt;VLOOKUP(B70,Bank_Statement!B:F,4,FALSE)),"Mismatch","Match")</f>
        <v>Match</v>
      </c>
      <c r="H70">
        <f>_xlfn.XLOOKUP(B70,Bank_Statement!B70:B169,Bank_Statement!F70:F169,"Not Found")</f>
        <v>122006</v>
      </c>
      <c r="I70">
        <f t="shared" si="1"/>
        <v>1</v>
      </c>
    </row>
    <row r="71" spans="1:9">
      <c r="A71" t="s">
        <v>43</v>
      </c>
      <c r="B71" t="s">
        <v>120</v>
      </c>
      <c r="C71" t="s">
        <v>61</v>
      </c>
      <c r="D71">
        <v>5295</v>
      </c>
      <c r="F71">
        <v>116711</v>
      </c>
      <c r="G71" t="str">
        <f>IF(OR(D71&lt;&gt;VLOOKUP(B71,Bank_Statement!B:F,3,FALSE),E71&lt;&gt;VLOOKUP(B71,Bank_Statement!B:F,4,FALSE)),"Mismatch","Match")</f>
        <v>Match</v>
      </c>
      <c r="H71">
        <f>_xlfn.XLOOKUP(B71,Bank_Statement!B71:B170,Bank_Statement!F71:F170,"Not Found")</f>
        <v>116711</v>
      </c>
      <c r="I71">
        <f t="shared" si="1"/>
        <v>1</v>
      </c>
    </row>
    <row r="72" spans="1:9">
      <c r="A72" t="s">
        <v>47</v>
      </c>
      <c r="B72" t="s">
        <v>122</v>
      </c>
      <c r="C72" t="s">
        <v>11</v>
      </c>
      <c r="E72">
        <v>8745</v>
      </c>
      <c r="F72">
        <v>130833</v>
      </c>
      <c r="G72" t="str">
        <f>IF(OR(D72&lt;&gt;VLOOKUP(B72,Bank_Statement!B:F,3,FALSE),E72&lt;&gt;VLOOKUP(B72,Bank_Statement!B:F,4,FALSE)),"Mismatch","Match")</f>
        <v>Match</v>
      </c>
      <c r="H72">
        <f>_xlfn.XLOOKUP(B72,Bank_Statement!B72:B171,Bank_Statement!F72:F171,"Not Found")</f>
        <v>130833</v>
      </c>
      <c r="I72">
        <f t="shared" si="1"/>
        <v>1</v>
      </c>
    </row>
    <row r="73" spans="1:9">
      <c r="A73" t="s">
        <v>49</v>
      </c>
      <c r="B73" t="s">
        <v>123</v>
      </c>
      <c r="C73" t="s">
        <v>26</v>
      </c>
      <c r="D73">
        <v>561</v>
      </c>
      <c r="F73">
        <v>130272</v>
      </c>
      <c r="G73" t="str">
        <f>IF(OR(D73&lt;&gt;VLOOKUP(B73,Bank_Statement!B:F,3,FALSE),E73&lt;&gt;VLOOKUP(B73,Bank_Statement!B:F,4,FALSE)),"Mismatch","Match")</f>
        <v>Match</v>
      </c>
      <c r="H73">
        <f>_xlfn.XLOOKUP(B73,Bank_Statement!B73:B172,Bank_Statement!F73:F172,"Not Found")</f>
        <v>130272</v>
      </c>
      <c r="I73">
        <f t="shared" si="1"/>
        <v>1</v>
      </c>
    </row>
    <row r="74" spans="1:9">
      <c r="A74" t="s">
        <v>51</v>
      </c>
      <c r="B74" t="s">
        <v>124</v>
      </c>
      <c r="C74" t="s">
        <v>29</v>
      </c>
      <c r="D74">
        <v>5575</v>
      </c>
      <c r="F74">
        <v>124697</v>
      </c>
      <c r="G74" t="str">
        <f>IF(OR(D74&lt;&gt;VLOOKUP(B74,Bank_Statement!B:F,3,FALSE),E74&lt;&gt;VLOOKUP(B74,Bank_Statement!B:F,4,FALSE)),"Mismatch","Match")</f>
        <v>Match</v>
      </c>
      <c r="H74">
        <f>_xlfn.XLOOKUP(B74,Bank_Statement!B74:B173,Bank_Statement!F74:F173,"Not Found")</f>
        <v>124697</v>
      </c>
      <c r="I74">
        <f t="shared" si="1"/>
        <v>1</v>
      </c>
    </row>
    <row r="75" spans="1:9">
      <c r="A75" t="s">
        <v>53</v>
      </c>
      <c r="B75" t="s">
        <v>125</v>
      </c>
      <c r="C75" t="s">
        <v>23</v>
      </c>
      <c r="E75">
        <v>918</v>
      </c>
      <c r="F75">
        <v>125615</v>
      </c>
      <c r="G75" t="str">
        <f>IF(OR(D75&lt;&gt;VLOOKUP(B75,Bank_Statement!B:F,3,FALSE),E75&lt;&gt;VLOOKUP(B75,Bank_Statement!B:F,4,FALSE)),"Mismatch","Match")</f>
        <v>Match</v>
      </c>
      <c r="H75">
        <f>_xlfn.XLOOKUP(B75,Bank_Statement!B75:B174,Bank_Statement!F75:F174,"Not Found")</f>
        <v>125615</v>
      </c>
      <c r="I75">
        <f t="shared" si="1"/>
        <v>1</v>
      </c>
    </row>
    <row r="76" spans="1:9">
      <c r="A76" t="s">
        <v>55</v>
      </c>
      <c r="B76" t="s">
        <v>126</v>
      </c>
      <c r="C76" t="s">
        <v>8</v>
      </c>
      <c r="D76">
        <v>1105</v>
      </c>
      <c r="F76">
        <v>124560</v>
      </c>
      <c r="G76" t="str">
        <f>IF(OR(D76&lt;&gt;VLOOKUP(B76,Bank_Statement!B:F,3,FALSE),E76&lt;&gt;VLOOKUP(B76,Bank_Statement!B:F,4,FALSE)),"Mismatch","Match")</f>
        <v>Mismatch</v>
      </c>
      <c r="H76">
        <f>_xlfn.XLOOKUP(B76,Bank_Statement!B76:B175,Bank_Statement!F76:F175,"Not Found")</f>
        <v>124560</v>
      </c>
      <c r="I76">
        <f t="shared" si="1"/>
        <v>1</v>
      </c>
    </row>
    <row r="77" spans="1:9">
      <c r="A77" t="s">
        <v>57</v>
      </c>
      <c r="B77" t="s">
        <v>127</v>
      </c>
      <c r="C77" t="s">
        <v>23</v>
      </c>
      <c r="E77">
        <v>1665</v>
      </c>
      <c r="F77">
        <v>126225</v>
      </c>
      <c r="G77" t="str">
        <f>IF(OR(D77&lt;&gt;VLOOKUP(B77,Bank_Statement!B:F,3,FALSE),E77&lt;&gt;VLOOKUP(B77,Bank_Statement!B:F,4,FALSE)),"Mismatch","Match")</f>
        <v>Match</v>
      </c>
      <c r="H77">
        <f>_xlfn.XLOOKUP(B77,Bank_Statement!B77:B176,Bank_Statement!F77:F176,"Not Found")</f>
        <v>126225</v>
      </c>
      <c r="I77">
        <f t="shared" si="1"/>
        <v>1</v>
      </c>
    </row>
    <row r="78" spans="1:9">
      <c r="A78" t="s">
        <v>59</v>
      </c>
      <c r="B78" t="s">
        <v>118</v>
      </c>
      <c r="C78" t="s">
        <v>20</v>
      </c>
      <c r="E78">
        <v>9334</v>
      </c>
      <c r="F78">
        <v>135559</v>
      </c>
      <c r="G78" t="str">
        <f>IF(OR(D78&lt;&gt;VLOOKUP(B78,Bank_Statement!B:F,3,FALSE),E78&lt;&gt;VLOOKUP(B78,Bank_Statement!B:F,4,FALSE)),"Mismatch","Match")</f>
        <v>Mismatch</v>
      </c>
      <c r="H78" t="str">
        <f>_xlfn.XLOOKUP(B78,Bank_Statement!B78:B177,Bank_Statement!F78:F177,"Not Found")</f>
        <v>Not Found</v>
      </c>
      <c r="I78">
        <f t="shared" si="1"/>
        <v>2</v>
      </c>
    </row>
    <row r="79" spans="1:9">
      <c r="A79" t="s">
        <v>62</v>
      </c>
      <c r="B79" t="s">
        <v>129</v>
      </c>
      <c r="C79" t="s">
        <v>26</v>
      </c>
      <c r="D79">
        <v>3126</v>
      </c>
      <c r="F79">
        <v>132433</v>
      </c>
      <c r="G79" t="str">
        <f>IF(OR(D79&lt;&gt;VLOOKUP(B79,Bank_Statement!B:F,3,FALSE),E79&lt;&gt;VLOOKUP(B79,Bank_Statement!B:F,4,FALSE)),"Mismatch","Match")</f>
        <v>Match</v>
      </c>
      <c r="H79">
        <f>_xlfn.XLOOKUP(B79,Bank_Statement!B79:B178,Bank_Statement!F79:F178,"Not Found")</f>
        <v>132433</v>
      </c>
      <c r="I79">
        <f t="shared" si="1"/>
        <v>1</v>
      </c>
    </row>
    <row r="80" spans="1:9">
      <c r="A80" t="s">
        <v>64</v>
      </c>
      <c r="B80" t="s">
        <v>130</v>
      </c>
      <c r="C80" t="s">
        <v>61</v>
      </c>
      <c r="D80">
        <v>701</v>
      </c>
      <c r="F80">
        <v>131732</v>
      </c>
      <c r="G80" t="str">
        <f>IF(OR(D80&lt;&gt;VLOOKUP(B80,Bank_Statement!B:F,3,FALSE),E80&lt;&gt;VLOOKUP(B80,Bank_Statement!B:F,4,FALSE)),"Mismatch","Match")</f>
        <v>Match</v>
      </c>
      <c r="H80">
        <f>_xlfn.XLOOKUP(B80,Bank_Statement!B80:B179,Bank_Statement!F80:F179,"Not Found")</f>
        <v>131732</v>
      </c>
      <c r="I80">
        <f t="shared" si="1"/>
        <v>1</v>
      </c>
    </row>
    <row r="81" spans="1:9">
      <c r="A81" t="s">
        <v>66</v>
      </c>
      <c r="B81" t="s">
        <v>131</v>
      </c>
      <c r="C81" t="s">
        <v>29</v>
      </c>
      <c r="D81">
        <v>6151</v>
      </c>
      <c r="F81">
        <v>125581</v>
      </c>
      <c r="G81" t="str">
        <f>IF(OR(D81&lt;&gt;VLOOKUP(B81,Bank_Statement!B:F,3,FALSE),E81&lt;&gt;VLOOKUP(B81,Bank_Statement!B:F,4,FALSE)),"Mismatch","Match")</f>
        <v>Match</v>
      </c>
      <c r="H81">
        <f>_xlfn.XLOOKUP(B81,Bank_Statement!B81:B180,Bank_Statement!F81:F180,"Not Found")</f>
        <v>125581</v>
      </c>
      <c r="I81">
        <f t="shared" si="1"/>
        <v>1</v>
      </c>
    </row>
    <row r="82" spans="1:9">
      <c r="A82" t="s">
        <v>68</v>
      </c>
      <c r="B82" t="s">
        <v>132</v>
      </c>
      <c r="C82" t="s">
        <v>23</v>
      </c>
      <c r="E82">
        <v>4690</v>
      </c>
      <c r="F82">
        <v>130271</v>
      </c>
      <c r="G82" t="str">
        <f>IF(OR(D82&lt;&gt;VLOOKUP(B82,Bank_Statement!B:F,3,FALSE),E82&lt;&gt;VLOOKUP(B82,Bank_Statement!B:F,4,FALSE)),"Mismatch","Match")</f>
        <v>Match</v>
      </c>
      <c r="H82">
        <f>_xlfn.XLOOKUP(B82,Bank_Statement!B82:B181,Bank_Statement!F82:F181,"Not Found")</f>
        <v>130271</v>
      </c>
      <c r="I82">
        <f t="shared" si="1"/>
        <v>1</v>
      </c>
    </row>
    <row r="83" spans="1:9">
      <c r="A83" t="s">
        <v>70</v>
      </c>
      <c r="B83" t="s">
        <v>133</v>
      </c>
      <c r="C83" t="s">
        <v>14</v>
      </c>
      <c r="D83">
        <v>992</v>
      </c>
      <c r="F83">
        <v>129279</v>
      </c>
      <c r="G83" t="str">
        <f>IF(OR(D83&lt;&gt;VLOOKUP(B83,Bank_Statement!B:F,3,FALSE),E83&lt;&gt;VLOOKUP(B83,Bank_Statement!B:F,4,FALSE)),"Mismatch","Match")</f>
        <v>Match</v>
      </c>
      <c r="H83">
        <f>_xlfn.XLOOKUP(B83,Bank_Statement!B83:B182,Bank_Statement!F83:F182,"Not Found")</f>
        <v>129279</v>
      </c>
      <c r="I83">
        <f t="shared" si="1"/>
        <v>1</v>
      </c>
    </row>
    <row r="84" spans="1:9">
      <c r="A84" t="s">
        <v>72</v>
      </c>
      <c r="B84" t="s">
        <v>134</v>
      </c>
      <c r="C84" t="s">
        <v>20</v>
      </c>
      <c r="E84">
        <v>6022</v>
      </c>
      <c r="F84">
        <v>135301</v>
      </c>
      <c r="G84" t="str">
        <f>IF(OR(D84&lt;&gt;VLOOKUP(B84,Bank_Statement!B:F,3,FALSE),E84&lt;&gt;VLOOKUP(B84,Bank_Statement!B:F,4,FALSE)),"Mismatch","Match")</f>
        <v>Match</v>
      </c>
      <c r="H84">
        <f>_xlfn.XLOOKUP(B84,Bank_Statement!B84:B183,Bank_Statement!F84:F183,"Not Found")</f>
        <v>135301</v>
      </c>
      <c r="I84">
        <f t="shared" si="1"/>
        <v>1</v>
      </c>
    </row>
    <row r="85" spans="1:9">
      <c r="A85" t="s">
        <v>74</v>
      </c>
      <c r="B85" t="s">
        <v>135</v>
      </c>
      <c r="C85" t="s">
        <v>32</v>
      </c>
      <c r="E85">
        <v>5013</v>
      </c>
      <c r="F85">
        <v>140314</v>
      </c>
      <c r="G85" t="str">
        <f>IF(OR(D85&lt;&gt;VLOOKUP(B85,Bank_Statement!B:F,3,FALSE),E85&lt;&gt;VLOOKUP(B85,Bank_Statement!B:F,4,FALSE)),"Mismatch","Match")</f>
        <v>Match</v>
      </c>
      <c r="H85">
        <f>_xlfn.XLOOKUP(B85,Bank_Statement!B85:B184,Bank_Statement!F85:F184,"Not Found")</f>
        <v>140314</v>
      </c>
      <c r="I85">
        <f t="shared" si="1"/>
        <v>1</v>
      </c>
    </row>
    <row r="86" spans="1:9">
      <c r="A86" t="s">
        <v>9</v>
      </c>
      <c r="B86" t="s">
        <v>137</v>
      </c>
      <c r="C86" t="s">
        <v>17</v>
      </c>
      <c r="E86">
        <v>8977</v>
      </c>
      <c r="F86">
        <v>158565</v>
      </c>
      <c r="G86" t="str">
        <f>IF(OR(D86&lt;&gt;VLOOKUP(B86,Bank_Statement!B:F,3,FALSE),E86&lt;&gt;VLOOKUP(B86,Bank_Statement!B:F,4,FALSE)),"Mismatch","Match")</f>
        <v>Match</v>
      </c>
      <c r="H86">
        <f>_xlfn.XLOOKUP(B86,Bank_Statement!B86:B185,Bank_Statement!F86:F185,"Not Found")</f>
        <v>158565</v>
      </c>
      <c r="I86">
        <f t="shared" si="1"/>
        <v>1</v>
      </c>
    </row>
    <row r="87" spans="1:9">
      <c r="A87" t="s">
        <v>12</v>
      </c>
      <c r="B87" t="s">
        <v>138</v>
      </c>
      <c r="C87" t="s">
        <v>20</v>
      </c>
      <c r="E87">
        <v>3211</v>
      </c>
      <c r="F87">
        <v>161776</v>
      </c>
      <c r="G87" t="str">
        <f>IF(OR(D87&lt;&gt;VLOOKUP(B87,Bank_Statement!B:F,3,FALSE),E87&lt;&gt;VLOOKUP(B87,Bank_Statement!B:F,4,FALSE)),"Mismatch","Match")</f>
        <v>Match</v>
      </c>
      <c r="H87">
        <f>_xlfn.XLOOKUP(B87,Bank_Statement!B87:B186,Bank_Statement!F87:F186,"Not Found")</f>
        <v>161776</v>
      </c>
      <c r="I87">
        <f t="shared" si="1"/>
        <v>1</v>
      </c>
    </row>
    <row r="88" spans="1:9">
      <c r="A88" t="s">
        <v>15</v>
      </c>
      <c r="B88" t="s">
        <v>139</v>
      </c>
      <c r="C88" t="s">
        <v>29</v>
      </c>
      <c r="D88">
        <v>993</v>
      </c>
      <c r="F88">
        <v>160783</v>
      </c>
      <c r="G88" t="str">
        <f>IF(OR(D88&lt;&gt;VLOOKUP(B88,Bank_Statement!B:F,3,FALSE),E88&lt;&gt;VLOOKUP(B88,Bank_Statement!B:F,4,FALSE)),"Mismatch","Match")</f>
        <v>Match</v>
      </c>
      <c r="H88">
        <f>_xlfn.XLOOKUP(B88,Bank_Statement!B88:B187,Bank_Statement!F88:F187,"Not Found")</f>
        <v>160783</v>
      </c>
      <c r="I88">
        <f t="shared" si="1"/>
        <v>1</v>
      </c>
    </row>
    <row r="89" spans="1:9">
      <c r="A89" t="s">
        <v>18</v>
      </c>
      <c r="B89" t="s">
        <v>140</v>
      </c>
      <c r="C89" t="s">
        <v>61</v>
      </c>
      <c r="D89">
        <v>6193</v>
      </c>
      <c r="F89">
        <v>154590</v>
      </c>
      <c r="G89" t="str">
        <f>IF(OR(D89&lt;&gt;VLOOKUP(B89,Bank_Statement!B:F,3,FALSE),E89&lt;&gt;VLOOKUP(B89,Bank_Statement!B:F,4,FALSE)),"Mismatch","Match")</f>
        <v>Match</v>
      </c>
      <c r="H89">
        <f>_xlfn.XLOOKUP(B89,Bank_Statement!B89:B188,Bank_Statement!F89:F188,"Not Found")</f>
        <v>154590</v>
      </c>
      <c r="I89">
        <f t="shared" si="1"/>
        <v>1</v>
      </c>
    </row>
    <row r="90" spans="1:9">
      <c r="A90" t="s">
        <v>21</v>
      </c>
      <c r="B90" t="s">
        <v>141</v>
      </c>
      <c r="C90" t="s">
        <v>8</v>
      </c>
      <c r="D90">
        <v>7225</v>
      </c>
      <c r="F90">
        <v>147365</v>
      </c>
      <c r="G90" t="str">
        <f>IF(OR(D90&lt;&gt;VLOOKUP(B90,Bank_Statement!B:F,3,FALSE),E90&lt;&gt;VLOOKUP(B90,Bank_Statement!B:F,4,FALSE)),"Mismatch","Match")</f>
        <v>Match</v>
      </c>
      <c r="H90">
        <f>_xlfn.XLOOKUP(B90,Bank_Statement!B90:B189,Bank_Statement!F90:F189,"Not Found")</f>
        <v>147365</v>
      </c>
      <c r="I90">
        <f t="shared" si="1"/>
        <v>1</v>
      </c>
    </row>
    <row r="91" spans="1:9">
      <c r="A91" t="s">
        <v>24</v>
      </c>
      <c r="B91" t="s">
        <v>142</v>
      </c>
      <c r="C91" t="s">
        <v>8</v>
      </c>
      <c r="D91">
        <v>7022</v>
      </c>
      <c r="F91">
        <v>140343</v>
      </c>
      <c r="G91" t="str">
        <f>IF(OR(D91&lt;&gt;VLOOKUP(B91,Bank_Statement!B:F,3,FALSE),E91&lt;&gt;VLOOKUP(B91,Bank_Statement!B:F,4,FALSE)),"Mismatch","Match")</f>
        <v>Match</v>
      </c>
      <c r="H91">
        <f>_xlfn.XLOOKUP(B91,Bank_Statement!B91:B190,Bank_Statement!F91:F190,"Not Found")</f>
        <v>140343</v>
      </c>
      <c r="I91">
        <f t="shared" si="1"/>
        <v>1</v>
      </c>
    </row>
    <row r="92" spans="1:9">
      <c r="A92" t="s">
        <v>27</v>
      </c>
      <c r="B92" t="s">
        <v>143</v>
      </c>
      <c r="C92" t="s">
        <v>11</v>
      </c>
      <c r="E92">
        <v>3312</v>
      </c>
      <c r="F92">
        <v>143655</v>
      </c>
      <c r="G92" t="str">
        <f>IF(OR(D92&lt;&gt;VLOOKUP(B92,Bank_Statement!B:F,3,FALSE),E92&lt;&gt;VLOOKUP(B92,Bank_Statement!B:F,4,FALSE)),"Mismatch","Match")</f>
        <v>Match</v>
      </c>
      <c r="H92">
        <f>_xlfn.XLOOKUP(B92,Bank_Statement!B92:B191,Bank_Statement!F92:F191,"Not Found")</f>
        <v>143655</v>
      </c>
      <c r="I92">
        <f t="shared" si="1"/>
        <v>1</v>
      </c>
    </row>
    <row r="93" spans="1:9">
      <c r="A93" t="s">
        <v>30</v>
      </c>
      <c r="B93" t="s">
        <v>144</v>
      </c>
      <c r="C93" t="s">
        <v>32</v>
      </c>
      <c r="E93">
        <v>8306</v>
      </c>
      <c r="F93">
        <v>151961</v>
      </c>
      <c r="G93" t="str">
        <f>IF(OR(D93&lt;&gt;VLOOKUP(B93,Bank_Statement!B:F,3,FALSE),E93&lt;&gt;VLOOKUP(B93,Bank_Statement!B:F,4,FALSE)),"Mismatch","Match")</f>
        <v>Match</v>
      </c>
      <c r="H93">
        <f>_xlfn.XLOOKUP(B93,Bank_Statement!B93:B192,Bank_Statement!F93:F192,"Not Found")</f>
        <v>151961</v>
      </c>
      <c r="I93">
        <f t="shared" si="1"/>
        <v>1</v>
      </c>
    </row>
    <row r="94" spans="1:9">
      <c r="A94" t="s">
        <v>33</v>
      </c>
      <c r="B94" t="s">
        <v>145</v>
      </c>
      <c r="C94" t="s">
        <v>17</v>
      </c>
      <c r="E94">
        <v>7877</v>
      </c>
      <c r="F94">
        <v>159838</v>
      </c>
      <c r="G94" t="str">
        <f>IF(OR(D94&lt;&gt;VLOOKUP(B94,Bank_Statement!B:F,3,FALSE),E94&lt;&gt;VLOOKUP(B94,Bank_Statement!B:F,4,FALSE)),"Mismatch","Match")</f>
        <v>Match</v>
      </c>
      <c r="H94">
        <f>_xlfn.XLOOKUP(B94,Bank_Statement!B94:B193,Bank_Statement!F94:F193,"Not Found")</f>
        <v>159838</v>
      </c>
      <c r="I94">
        <f t="shared" si="1"/>
        <v>1</v>
      </c>
    </row>
  </sheetData>
  <autoFilter ref="A1:I94" xr:uid="{00000000-0001-0000-0100-000000000000}"/>
  <conditionalFormatting sqref="G1:G76">
    <cfRule type="containsText" dxfId="0" priority="1" operator="containsText" text="Mismatch">
      <formula>NOT(ISERROR(SEARCH("Mismatch",G1)))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tabSelected="1" workbookViewId="0">
      <selection activeCell="I22" sqref="I22"/>
    </sheetView>
  </sheetViews>
  <sheetFormatPr defaultRowHeight="14.4"/>
  <cols>
    <col min="1" max="1" width="17.109375" customWidth="1"/>
  </cols>
  <sheetData>
    <row r="1" spans="1:1">
      <c r="A1" s="1" t="s">
        <v>172</v>
      </c>
    </row>
    <row r="3" spans="1:1">
      <c r="A3" t="s">
        <v>146</v>
      </c>
    </row>
    <row r="4" spans="1:1">
      <c r="A4" t="s">
        <v>147</v>
      </c>
    </row>
    <row r="5" spans="1:1">
      <c r="A5" t="s">
        <v>148</v>
      </c>
    </row>
    <row r="6" spans="1:1">
      <c r="A6" t="s">
        <v>149</v>
      </c>
    </row>
    <row r="7" spans="1:1">
      <c r="A7" t="s">
        <v>150</v>
      </c>
    </row>
    <row r="8" spans="1:1">
      <c r="A8" t="s">
        <v>151</v>
      </c>
    </row>
    <row r="9" spans="1:1">
      <c r="A9" t="s">
        <v>152</v>
      </c>
    </row>
    <row r="10" spans="1:1">
      <c r="A10" t="s">
        <v>153</v>
      </c>
    </row>
    <row r="11" spans="1:1">
      <c r="A11" t="s">
        <v>154</v>
      </c>
    </row>
    <row r="12" spans="1:1">
      <c r="A12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Bank_Statement</vt:lpstr>
      <vt:lpstr>Dashboard</vt:lpstr>
      <vt:lpstr>Summary</vt:lpstr>
      <vt:lpstr>Cash_Book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Gurudev Manoharan</cp:lastModifiedBy>
  <dcterms:created xsi:type="dcterms:W3CDTF">2026-05-10T10:07:47Z</dcterms:created>
  <dcterms:modified xsi:type="dcterms:W3CDTF">2026-05-11T12:12:26Z</dcterms:modified>
</cp:coreProperties>
</file>